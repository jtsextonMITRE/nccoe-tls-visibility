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jtsexton\Documents\GitHub\nccoe-tls-visibility\source\"/>
    </mc:Choice>
  </mc:AlternateContent>
  <xr:revisionPtr revIDLastSave="0" documentId="13_ncr:1_{AA3ABE4D-1091-4540-9CBB-37DE846A1865}" xr6:coauthVersionLast="47" xr6:coauthVersionMax="47" xr10:uidLastSave="{00000000-0000-0000-0000-000000000000}"/>
  <bookViews>
    <workbookView xWindow="-108" yWindow="-108" windowWidth="23256" windowHeight="12576" activeTab="1" xr2:uid="{98261EDB-CAAE-465A-808E-FF764171E9DA}"/>
  </bookViews>
  <sheets>
    <sheet name="Sheet1" sheetId="1" r:id="rId1"/>
    <sheet name="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1" l="1" a="1"/>
  <c r="AL2" i="1" s="1"/>
  <c r="Z2" i="1" a="1"/>
  <c r="Z2" i="1" s="1"/>
  <c r="AA2" i="1" a="1"/>
  <c r="AA2" i="1" s="1"/>
  <c r="AB2" i="1" a="1"/>
  <c r="AB2" i="1" s="1"/>
  <c r="AC2" i="1" a="1"/>
  <c r="AC2" i="1" s="1"/>
  <c r="AD2" i="1" a="1"/>
  <c r="AD2" i="1" s="1"/>
  <c r="AE2" i="1" a="1"/>
  <c r="AE2" i="1" s="1"/>
  <c r="AF2" i="1" a="1"/>
  <c r="AF2" i="1" s="1"/>
  <c r="AG2" i="1" a="1"/>
  <c r="AG2" i="1" s="1"/>
  <c r="AH2" i="1" a="1"/>
  <c r="AH2" i="1" s="1"/>
  <c r="AI2" i="1" a="1"/>
  <c r="AI2" i="1" s="1"/>
  <c r="AJ2" i="1" a="1"/>
  <c r="AJ2" i="1" s="1"/>
  <c r="AK2" i="1" a="1"/>
  <c r="AK2" i="1" s="1"/>
  <c r="Y2" i="1" a="1"/>
  <c r="Y2" i="1" s="1"/>
  <c r="X2" i="1"/>
  <c r="W2" i="1"/>
  <c r="V2" i="1" a="1"/>
  <c r="V2" i="1" s="1"/>
  <c r="U2" i="1" a="1"/>
  <c r="U2" i="1" s="1"/>
  <c r="T2" i="1"/>
  <c r="P2" i="1" a="1"/>
  <c r="P2" i="1" s="1"/>
  <c r="Q2" i="1" a="1"/>
  <c r="Q2" i="1" s="1"/>
  <c r="R2" i="1" a="1"/>
  <c r="R2" i="1" s="1"/>
  <c r="S2" i="1" a="1"/>
  <c r="S2" i="1" s="1"/>
  <c r="L2" i="1" a="1"/>
  <c r="L2" i="1" s="1"/>
  <c r="M2" i="1" a="1"/>
  <c r="M2" i="1" s="1"/>
  <c r="N2" i="1" a="1"/>
  <c r="N2" i="1" s="1"/>
  <c r="O2" i="1" a="1"/>
  <c r="O2" i="1" s="1"/>
  <c r="K2" i="1" a="1"/>
  <c r="K2" i="1" s="1"/>
  <c r="J2" i="1" a="1"/>
  <c r="J2" i="1" s="1"/>
  <c r="I2" i="1" a="1"/>
  <c r="I2" i="1" s="1"/>
  <c r="H2" i="1" a="1"/>
  <c r="H2" i="1" s="1"/>
  <c r="C2" i="1"/>
  <c r="D2" i="1"/>
  <c r="E2" i="1"/>
  <c r="F2" i="1"/>
  <c r="G2" i="1"/>
  <c r="A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<sst xmlns="http://schemas.openxmlformats.org/spreadsheetml/2006/main" count="751" uniqueCount="247">
  <si>
    <t>Build</t>
  </si>
  <si>
    <t>Name</t>
  </si>
  <si>
    <t>Hostname</t>
  </si>
  <si>
    <t>Description</t>
  </si>
  <si>
    <t>Configuration Description</t>
  </si>
  <si>
    <t>Startup Instructions</t>
  </si>
  <si>
    <t>OS</t>
  </si>
  <si>
    <t>Certificates</t>
  </si>
  <si>
    <t>GitHub Folder</t>
  </si>
  <si>
    <t>RK</t>
  </si>
  <si>
    <t>TestApp</t>
  </si>
  <si>
    <t>rk-testapp.visibility.nccoe.org</t>
  </si>
  <si>
    <t>The web application server consists of an Nginx reverse proxy in front of a Python Flask application running in a Docker container. Docker Community Edition was installed, and the default non-root user was added to the docker OS group. Nginx was not containerized for this build to provide better compatibility with the SSH capability needed for key distribution.</t>
  </si>
  <si>
    <t>Nginx</t>
  </si>
  <si>
    <t>OpenSSL</t>
  </si>
  <si>
    <t>1.18.0</t>
  </si>
  <si>
    <t>N/A</t>
  </si>
  <si>
    <t>1.1.1f</t>
  </si>
  <si>
    <t>No</t>
  </si>
  <si>
    <t>Yes</t>
  </si>
  <si>
    <t>Ubuntu 20.04.6 LTS</t>
  </si>
  <si>
    <t>192.168.30.13</t>
  </si>
  <si>
    <t>192.168.10.23</t>
  </si>
  <si>
    <t>lab_build/tls-servers
/Bounded-lifetime Rotated EDH Server Key Build/testapp-server</t>
  </si>
  <si>
    <t>Mail</t>
  </si>
  <si>
    <t>rk-mail.visibility.nccoe.org</t>
  </si>
  <si>
    <t>The [[Name]] application server consists of a Postfix service and Dovecot service providing SMTP and IMAP capabilities respectively.</t>
  </si>
  <si>
    <t>Postfix</t>
  </si>
  <si>
    <t>Dovecot</t>
  </si>
  <si>
    <t>3.4.13</t>
  </si>
  <si>
    <t>1:2.3.7.2</t>
  </si>
  <si>
    <t>192.168.30.15</t>
  </si>
  <si>
    <t>192.168.10.25</t>
  </si>
  <si>
    <t>lab_build/tls-servers
/Bounded-lifetime Rotated EDH Server Key Build/mail-server</t>
  </si>
  <si>
    <t>Keycloak</t>
  </si>
  <si>
    <t>rk-keycloak.visibility.nccoe.org</t>
  </si>
  <si>
    <t>The [[Name]] application server runs within a Docker container, with an Nginx HTTP server acting as a reverse proxy. Docker Community Edition was installed, and the default non-root user was added to the docker OS group. Nginx was not containerized for this build to provide better compatibility with the SSH capability needed for key distribution.</t>
  </si>
  <si>
    <t>192.168.30.12</t>
  </si>
  <si>
    <t>192.168.10.22</t>
  </si>
  <si>
    <t>lab_build/tls-servers
/Bounded-lifetime Rotated EDH Server Key Build/keycloak-server</t>
  </si>
  <si>
    <t>MariaDB</t>
  </si>
  <si>
    <t>rk-mariadb.visibility.nccoe.org</t>
  </si>
  <si>
    <t>As none of the currently available MariaDB container images on DockerHub used a version of OpenSSL supported by the Nubeva agent, the MariaDB 11.0.2 software was installed directly on the host VM.</t>
  </si>
  <si>
    <t>systemctl status enable mariadb</t>
  </si>
  <si>
    <t>11.0.2</t>
  </si>
  <si>
    <t>192.168.30.14</t>
  </si>
  <si>
    <t>192.168.10.24</t>
  </si>
  <si>
    <t>lab_build/tls-servers
/Bounded-lifetime Rotated EDH Server Key Build/mariadb-server</t>
  </si>
  <si>
    <t>/etc/mysql/mariadb.conf.d/50-server.cnf</t>
  </si>
  <si>
    <t>/etc/eva/eva.conf</t>
  </si>
  <si>
    <t>/etc/mysql/mariadb.cnf</t>
  </si>
  <si>
    <t>/etc/ssl/openssl.cnf</t>
  </si>
  <si>
    <t>/etc/systemd/system/mariadb.service.d/override.conf</t>
  </si>
  <si>
    <t>EK</t>
  </si>
  <si>
    <t>Proxy</t>
  </si>
  <si>
    <t>ek-proxy.visibility.nccoe.org</t>
  </si>
  <si>
    <t>The [[Name]] application server runs within a Docker container, with an Nginx HTTP server acting as a reverse proxy. Docker Community Edition was installed, and the default non-root user was added to the docker OS group.</t>
  </si>
  <si>
    <t>192.168.30.99</t>
  </si>
  <si>
    <t>192.168.10.99</t>
  </si>
  <si>
    <t>lab_build/tls-servers
/Exported Session Key Build/proxy-server</t>
  </si>
  <si>
    <t>ek-testapp.visibility.nccoe.org</t>
  </si>
  <si>
    <t>The web application server consists of an Nginx reverse proxy in front of a Python Flask application running in a Docker container. Docker Community Edition was installed, and the default non-root user was added to the docker OS group.</t>
  </si>
  <si>
    <t>192.168.30.21</t>
  </si>
  <si>
    <t>192.168.10.51</t>
  </si>
  <si>
    <t>lab_build/tls-servers
/Exported Session Key Build/testapp-server</t>
  </si>
  <si>
    <t>ek-mail.visibility.nccoe.org</t>
  </si>
  <si>
    <t>192.168.30.8</t>
  </si>
  <si>
    <t>192.168.10.21</t>
  </si>
  <si>
    <t>lab_build/tls-servers
/Exported Session Key Build/mail-server</t>
  </si>
  <si>
    <t>ek-keycloak.visibility.nccoe.org</t>
  </si>
  <si>
    <t>192.168.30.11</t>
  </si>
  <si>
    <t>192.168.10.11</t>
  </si>
  <si>
    <t>lab_build/tls-servers
/Exported Session Key Build/keycloak-server</t>
  </si>
  <si>
    <t>ek-mariadb.visibility.nccoe.org</t>
  </si>
  <si>
    <t>11.0.6</t>
  </si>
  <si>
    <t>192.168.30.7</t>
  </si>
  <si>
    <t>192.168.10.20</t>
  </si>
  <si>
    <t>lab_build/tls-servers
/Exported Session Key Build/mariadb-server</t>
  </si>
  <si>
    <t>Redis</t>
  </si>
  <si>
    <t>redis.visibility.nccoe.org</t>
  </si>
  <si>
    <t xml:space="preserve">EK </t>
  </si>
  <si>
    <t>F5-Syslog</t>
  </si>
  <si>
    <t>f5-syslog.visibility.nccoe.org</t>
  </si>
  <si>
    <t>The [[Name]] application server consists of a Postfix service and Dovecot service providing SMTP and IMAP capabilities, running in a Docker container. Docker Community Edition was installed, and the default non-root user was added to the docker OS group.</t>
  </si>
  <si>
    <t>docker compose up -d</t>
  </si>
  <si>
    <t>service nginx start</t>
  </si>
  <si>
    <t>service redis restart</t>
  </si>
  <si>
    <t>Redis 7.2.4 was built from source for this build, in order to enable the ability to use TLS when connecting to it. To do this, the following command was used:
``make BUILD_TLS=yes``</t>
  </si>
  <si>
    <t>This server hosts a syslog-ng service collecting logs from the F5 BIG-IP device. These logs contain keys to be used for decryption. This server also hosts a python script which continuously reads the logs for these keys, and uploads them to the Redis database for use by the decryptors.</t>
  </si>
  <si>
    <t>Syslog-ng</t>
  </si>
  <si>
    <t>3.25.1</t>
  </si>
  <si>
    <t>f5forwarder</t>
  </si>
  <si>
    <t>7.2.4</t>
  </si>
  <si>
    <t>192.168.10.151</t>
  </si>
  <si>
    <t>192.168.10.150</t>
  </si>
  <si>
    <t>/home/administrator/redis-baremetal/redis-7.2.4/certs/</t>
  </si>
  <si>
    <t>/home/administrator/testapp-stack/testapp-build/testapp/oidc-client-secret.txt</t>
  </si>
  <si>
    <t>/home/administrator/testapp-stack/testapp-build/testapp/testapp.py</t>
  </si>
  <si>
    <t>/home/administrator/testapp-stack/testapp-build/Dockerfile</t>
  </si>
  <si>
    <t>/home/administrator/testapp-stack/testapp-build/pyenv.cfg</t>
  </si>
  <si>
    <t>/home/administrator/testapp-stack/testapp-build/requirements.txt</t>
  </si>
  <si>
    <t>/home/administrator/testapp-stack/docker-compose.yml</t>
  </si>
  <si>
    <t>/home/administrator/testapp-stack/nginx-default.conf</t>
  </si>
  <si>
    <t>/etc/eva/eva-openssl.cnf</t>
  </si>
  <si>
    <t>/etc/systemd/system/nginx.service.d/override.conf</t>
  </si>
  <si>
    <t>/home/administrator/make-ssh-chroot.ssh</t>
  </si>
  <si>
    <t>/etc/dovecot/dovecot.conf</t>
  </si>
  <si>
    <t>/etc/systemd/system/postfix.service.d/override.conf</t>
  </si>
  <si>
    <t>/etc/postfix/main.cf</t>
  </si>
  <si>
    <t>/etc/postfix/master.cf</t>
  </si>
  <si>
    <t>/home/administrator/docker-compose.yaml</t>
  </si>
  <si>
    <t>/etc/nginx/default.conf</t>
  </si>
  <si>
    <t>/home/administrator/proxy-stack/nginx-build/nfr/conf/eva-openssl.cnf</t>
  </si>
  <si>
    <t>/home/administrator/proxy-stack/nginx-build/nfr/conf/eva.cnf</t>
  </si>
  <si>
    <t>/home/administrator/proxy-stack/nginx-build/Dockerfile</t>
  </si>
  <si>
    <t>/home/administrator/proxy-stack/nginx-build/entrypoint.sh</t>
  </si>
  <si>
    <t>/home/administrator/proxy-stack/nginx-default.conf</t>
  </si>
  <si>
    <t>/home/administrator/proxy-stack/docker-compose.yaml</t>
  </si>
  <si>
    <t>/home/administrator/proxy-stack/nginx-build/nfr/openssl.cnf</t>
  </si>
  <si>
    <t>/home/administrator/proxy-stack/nginx-build/nfr/syslog-eva.conf</t>
  </si>
  <si>
    <t>/home/administrator/keycloak/nginx-build/nfr/conf/eva-openssl.cnf</t>
  </si>
  <si>
    <t>/home/administrator/keycloak/nginx-build/nfr/conf/eva.cnf</t>
  </si>
  <si>
    <t>/home/administrator/keycloak/nginx-build/nfr/openssl.cnf</t>
  </si>
  <si>
    <t>/home/administrator/keycloak/nginx-build/nfr/syslog-eva.conf</t>
  </si>
  <si>
    <t>/home/administrator/keycloak/nginx-build/Dockerfile</t>
  </si>
  <si>
    <t>/home/administrator/keycloak/nginx-build/entrypoint.sh</t>
  </si>
  <si>
    <t>/home/administrator/keycloak/default.conf</t>
  </si>
  <si>
    <t>/home/administrator/keycloak/nginx-build/docker-compose.yaml</t>
  </si>
  <si>
    <t>/home/administrator/testapp-stack/nginx-build/nfr/conf/eva-openssl.cnf</t>
  </si>
  <si>
    <t>/home/administrator/testapp-stack/nginx-build/nfr/openssl.cnf</t>
  </si>
  <si>
    <t>/home/administrator/testapp-stack/nginx-build/nfr/syslog-eva.conf</t>
  </si>
  <si>
    <t>/home/administrator/testapp-stack/nginx-build/nfr/conf/eva.cnf</t>
  </si>
  <si>
    <t>/home/administrator/testapp-stack/nginx-build/Dockerfile</t>
  </si>
  <si>
    <t>/home/administrator/testapp-stack/nginx-build/entrypoint.sh</t>
  </si>
  <si>
    <t>/home/administrator/testapp-stack/docker-compose.yaml</t>
  </si>
  <si>
    <t>/home/administrator/testapp-build/testapp/oidc-client-secret.txt</t>
  </si>
  <si>
    <t>/home/administrator/testapp-build/testapp/testapp.py</t>
  </si>
  <si>
    <t>/home/administrator/testapp-build/Dockerfile</t>
  </si>
  <si>
    <t>/home/administrator/testapp-build/pyenv.cfg</t>
  </si>
  <si>
    <t>/home/administrator/testapp-build/requirements.txt</t>
  </si>
  <si>
    <t>/home/tlsadmin/build-mail-container-image/nfr/conf/eva-openssl.cnf</t>
  </si>
  <si>
    <t>/home/tlsadmin/build-mail-container-image/nfr/conf/eva.cnf</t>
  </si>
  <si>
    <t>/home/tlsadmin/build-mail-container-image/Dockerfile</t>
  </si>
  <si>
    <t>/home/tlsadmin/build-mail-container-image/nfr/openssl.cnf</t>
  </si>
  <si>
    <t>/home/tlsadmin/build-mail-container-image/nfr/syslog-eva.conf</t>
  </si>
  <si>
    <t>/home/tlsadmin/build-mail-container-image/entrypoint.sh</t>
  </si>
  <si>
    <t>/home/tlsadmin/build-mail-container-image/testusers.txt</t>
  </si>
  <si>
    <t>/home/tlsadmin/mnt_dovecot/dovecot.conf</t>
  </si>
  <si>
    <t>/home/tlsadmin/mnt_postfix/main.cf</t>
  </si>
  <si>
    <t>/home/tlsadmin/mnt_postfix/master.cf</t>
  </si>
  <si>
    <t>/home/tlsadmin/docker-compose.yaml</t>
  </si>
  <si>
    <t>/etc/mysql/certs</t>
  </si>
  <si>
    <t>/home/tlsadmin/certs</t>
  </si>
  <si>
    <t>/home/administrator/certs</t>
  </si>
  <si>
    <t xml:space="preserve">MariaDB is configured to listen for incoming TLSv1.3 connections on the SERVER network. The Key Management Agent receives key material through an SSH connection from the Key Governance Platform over the MANAGEMENT network, authenticated using an SSH key pair. MariaDB is secured with an SSL certificate issued through DigiCert.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t>
  </si>
  <si>
    <t>Nginx is configured to listen for incoming TLSv1.3 connections on the SERVER network. The Key Management Agent receives key material through an SSH connection from the Key Governance Platform over the MANAGEMENT network, authenticated using an SSH key pair. The Nginx reverse proxy is secured with an SSL certificate issued through DigiCert. The docker files are primarily for ensuring that the service is running and using the correct certificates.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t>
  </si>
  <si>
    <t>Nginx is configured to listen for incoming TLSv1.3 connections on the SERVER network. The Key Management Agent receives key material through an SSH connection from the Key Governance Platform over the MANAGEMENT network, authenticated using an SSH key pair. The Nginx reverse proxy is secured with an SSL certificate issued through DigiCert.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Once operational, Keycloak was configured with a new realm named "CORP". Within this realm, a user named "testuser" was provisioned. Additionally, an OpenID Connect Client entry was created to allow authentication for a simple Python test application, as described in the Web Application Server Configuration. The docker files are primarily for ensuring that the service is running.</t>
  </si>
  <si>
    <t>Nginx is configured to listen for incoming TLSv1.3 connections on the SERVER network. The Key Management Agent receives key material through an SSH connection from the Key Governance Platform over the MANAGEMENT network, authenticated using an SSH key pair. The Nginx reverse proxy is secured with an SSL certificate issued through DigiCert.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The Nginx container manages access to a small python application which acts as a web server. The docker files are primarily for ensuring that the service is running.</t>
  </si>
  <si>
    <t>Nginx is configured to listen for incoming TLSv1.3 connections on the SERVER network. The Key Management Agent receives key material through an SSH connection from the Key Governance Platform over the MANAGEMENT network, authenticated using an SSH key pair. The Nginx reverse proxy is secured with an SSL certificate issued through DigiCert. The docker files are primarily for ensuring that the service is running and using the correct certificates.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The Nginx container manages access to a small python application which acts as a web server. The docker files are primarily for ensuring that the service is running.</t>
  </si>
  <si>
    <t>Postfix is configured to listen for incoming TLSv1.3 connections on the SERVER network. The Key Management Agent receives key material through an SSH connection from the Key Governance Platform over the MANAGEMENT network, authenticated using an SSH key pair. The Postfix server is secured with an SSL certificate issued through DigiCert. The docker files are primarily for ensuring the service is running and using the correct certificates.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In addition to the configs listed, it was also necessary to create MX records in the DNS for each mail server present in the build, to ensure that the external mail server could communicate with them. In this case, the following was added to ``DNS Resolver &gt; General Settings &gt; Custom options ...`` in the PFSense firewall:
``local-data: "ek-mail.visibility.nccoe.org. IN MX 10 ek-mail.visibility.nccoe.org"``</t>
  </si>
  <si>
    <t>Nginx is configured to listen for incoming TLSv1.3 connections on the SERVER network. The Key Management Agent receives key material through an SSH connection from the Key Governance Platform over the MANAGEMENT network, authenticated using an SSH key pair. The Nginx reverse proxy is secured with an SSL certificate issued through DigiCert. The docker files are primarily for ensuring that the service is running and using the correct certificates.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Once operational, Keycloak was configured with a new realm named "CORP". Within this realm, a user named "testuser" was provisioned. Additionally, an OpenID Connect Client entry was created to allow authentication for a simple Python test application, as described in the Web Application Server Configuration. The docker files are primarily for ensuring that the service is running.</t>
  </si>
  <si>
    <t>lab_build/appviewx/redis-server</t>
  </si>
  <si>
    <t>redis.conf</t>
  </si>
  <si>
    <t>The primary usage of ``redis.conf`` was to ensure the ability to use TLSv1.3 and to indicate the certificates needed for the TLSv1.3 connection between it and the various products directly inserting keys into it.</t>
  </si>
  <si>
    <t>lab_build/f5-active-decryptor/syslog-server</t>
  </si>
  <si>
    <t>/home/tlsadmin/redis-forwarder/f5-redis.py</t>
  </si>
  <si>
    <t>/home/tlsadmin/redis-forwarder/key-remover.py</t>
  </si>
  <si>
    <t>/etc/syslog-ng/syslog-ng.conf</t>
  </si>
  <si>
    <t>/etc/systemd/system/f5forwarder.service</t>
  </si>
  <si>
    <t>Service1</t>
  </si>
  <si>
    <t>Service_TITLE</t>
  </si>
  <si>
    <t>Service</t>
  </si>
  <si>
    <t>Service3</t>
  </si>
  <si>
    <t>Service2</t>
  </si>
  <si>
    <t>Version1</t>
  </si>
  <si>
    <t>Version2</t>
  </si>
  <si>
    <t>Version3</t>
  </si>
  <si>
    <t>Version_TITLE</t>
  </si>
  <si>
    <t>Containerized1</t>
  </si>
  <si>
    <t>Containerized2</t>
  </si>
  <si>
    <t>Containerized3</t>
  </si>
  <si>
    <t>Containerized_TITLE</t>
  </si>
  <si>
    <t>NIC0</t>
  </si>
  <si>
    <t>NIC1</t>
  </si>
  <si>
    <t>Containerized</t>
  </si>
  <si>
    <t>Config1</t>
  </si>
  <si>
    <t>Config2</t>
  </si>
  <si>
    <t>Config3</t>
  </si>
  <si>
    <t>Config4</t>
  </si>
  <si>
    <t>Config5</t>
  </si>
  <si>
    <t>Config6</t>
  </si>
  <si>
    <t>Config7</t>
  </si>
  <si>
    <t>Config8</t>
  </si>
  <si>
    <t>Config9</t>
  </si>
  <si>
    <t>Config10</t>
  </si>
  <si>
    <t>Config11</t>
  </si>
  <si>
    <t>Config12</t>
  </si>
  <si>
    <t>Config13</t>
  </si>
  <si>
    <t>Service2_LEN_11</t>
  </si>
  <si>
    <t>Service3_LEN_11</t>
  </si>
  <si>
    <t>Service_TITLE_LEN_11</t>
  </si>
  <si>
    <t>Version1_LEN_9</t>
  </si>
  <si>
    <t>Version2_LEN_9</t>
  </si>
  <si>
    <t>Version3_LEN_9</t>
  </si>
  <si>
    <t>Version_TITLE_LEN_9</t>
  </si>
  <si>
    <t>Containerized1_LEN_13</t>
  </si>
  <si>
    <t>Containerized2_LEN_13</t>
  </si>
  <si>
    <t>Containerized3_LEN_13</t>
  </si>
  <si>
    <t>Containerized_TITLE_LEN_13</t>
  </si>
  <si>
    <t>NIC0_LEN_14</t>
  </si>
  <si>
    <t>NIC1_LEN_14</t>
  </si>
  <si>
    <t>Config1_LEN_78</t>
  </si>
  <si>
    <t>Config2_LEN_78</t>
  </si>
  <si>
    <t>Config3_LEN_78</t>
  </si>
  <si>
    <t>Config4_LEN_78</t>
  </si>
  <si>
    <t>Config5_LEN_78</t>
  </si>
  <si>
    <t>Config6_LEN_78</t>
  </si>
  <si>
    <t>Config7_LEN_78</t>
  </si>
  <si>
    <t>Config8_LEN_78</t>
  </si>
  <si>
    <t>Config9_LEN_78</t>
  </si>
  <si>
    <t>Config10_LEN_78</t>
  </si>
  <si>
    <t>Config11_LEN_78</t>
  </si>
  <si>
    <t>Config12_LEN_78</t>
  </si>
  <si>
    <t>Config13_LEN_78</t>
  </si>
  <si>
    <t>Version</t>
  </si>
  <si>
    <t>Config_TITLE</t>
  </si>
  <si>
    <t>Configuration Files</t>
  </si>
  <si>
    <t>Config_TITLE_LEN_78</t>
  </si>
  <si>
    <t>service syslog-ng start
    service f5forwarder start</t>
  </si>
  <si>
    <t>docker compose up -d
    service nginx start</t>
  </si>
  <si>
    <t># Note that by default these start automatically with system boot.
    service postfix start
    service dovecot start</t>
  </si>
  <si>
    <t>Service1_LEN_11</t>
  </si>
  <si>
    <t>/certs</t>
  </si>
  <si>
    <t>Postfix is configured to listen for incoming TLSv1.3 connections on the SERVER network. The Key Management Agent receives key material through an SSH connection from the Key Governance Platform over the MANAGEMENT network, authenticated using an SSH key pair. The Postfix server is secured with an SSL certificate issued through DigiCert. 
* ``eva-openssl.cnf`` contains config lines which are included in ``openssl.cnf``. It details which services should use the EVA agent to retrieve keys from AppViewX and use them in the workflow.
* ``eva.conf`` contains details on how to retrieve these keys.
* ``override.conf`` contains instructions for the system to ensure that the EVA agent is running prior to the affected service.
In addition to the configs listed, it was also necessary to create MX records in the DNS for each mail server present in the build, to ensure that the external mail server could communicate with them. In this case, the following was added to ``DNS Resolver &gt; General Settings &gt; Custom options ...`` in the PFSense firewall:
``local-data: "rk-mail.visibility.nccoe.org. IN MX 10 ek-mail.visibility.nccoe.org"``</t>
  </si>
  <si>
    <t>* ``f5-redis.py`` is the python script used to forward keys extracted from syslog (received from F5 BIG-IP) to the Redis server.
* ``f5forwarder.service`` is used to keep the f5-redis.py script running constantly, so as to not fall behind on logs.
* ``key-remover.py`` is simply a tool used to clear the Redis database of keys. While not part of the build, it is included here for convenience.</t>
  </si>
  <si>
    <t>rk-testapp</t>
  </si>
  <si>
    <t>rk-mail</t>
  </si>
  <si>
    <t>rk-keycloak</t>
  </si>
  <si>
    <t>rk-mariadb</t>
  </si>
  <si>
    <t>ek-proxy</t>
  </si>
  <si>
    <t>ek-testapp</t>
  </si>
  <si>
    <t>ek-mail</t>
  </si>
  <si>
    <t>ek-keycloak</t>
  </si>
  <si>
    <t>ek-mariadb</t>
  </si>
  <si>
    <t>redis</t>
  </si>
  <si>
    <t>f5syslog</t>
  </si>
  <si>
    <t>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</si>
</sst>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Narrow"/>
      <family val="2"/>
    </font>
    <font>
      <sz val="8"/>
      <name val="Aptos Narrow"/>
      <family val="2"/>
      <scheme val="minor"/>
    </font>
    <font>
      <sz val="11"/>
      <name val="Aptos Narrow"/>
      <family val="2"/>
    </font>
  </fonts>
  <fills count="4">
    <fill>
      <patternFill patternType="none"/>
    </fill>
    <fill>
      <patternFill patternType="gray125"/>
    </fill>
    <fill>
      <patternFill patternType="solid">
        <fgColor theme="2" tint="-9.9978637043366805E-2"/>
        <bgColor indexed="64"/>
      </patternFill>
    </fill>
    <fill>
      <patternFill patternType="solid">
        <fgColor rgb="FFD0D0D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0" fillId="0" borderId="1" xfId="0" applyBorder="1"/>
    <xf numFmtId="0" fontId="1" fillId="0" borderId="1" xfId="0" applyFont="1" applyBorder="1"/>
    <xf numFmtId="0" fontId="1" fillId="0" borderId="1" xfId="0" applyFont="1" applyBorder="1" applyAlignment="1">
      <alignment wrapText="1"/>
    </xf>
    <xf numFmtId="0" fontId="3" fillId="0" borderId="1" xfId="0" applyFont="1" applyBorder="1" applyAlignment="1">
      <alignment wrapText="1"/>
    </xf>
    <xf numFmtId="0" fontId="1" fillId="3" borderId="1" xfId="0" applyFont="1" applyFill="1" applyBorder="1"/>
    <xf numFmtId="0" fontId="1" fillId="3" borderId="1" xfId="0" applyFont="1" applyFill="1" applyBorder="1" applyAlignment="1">
      <alignment wrapText="1"/>
    </xf>
    <xf numFmtId="0" fontId="3"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BC10-E676-4B99-AC1E-F4AF4AE7AD3A}">
  <dimension ref="A1:AL13"/>
  <sheetViews>
    <sheetView topLeftCell="A11" zoomScale="94" workbookViewId="0">
      <selection activeCell="A2" sqref="A2:XFD13"/>
    </sheetView>
  </sheetViews>
  <sheetFormatPr defaultRowHeight="15" customHeight="1" x14ac:dyDescent="0.3"/>
  <cols>
    <col min="1" max="1" width="5.33203125" bestFit="1" customWidth="1"/>
    <col min="2" max="2" width="5.33203125" customWidth="1"/>
    <col min="3" max="3" width="8.88671875" bestFit="1" customWidth="1"/>
    <col min="4" max="4" width="27.21875" bestFit="1" customWidth="1"/>
    <col min="5" max="5" width="74.5546875" bestFit="1" customWidth="1"/>
    <col min="6" max="6" width="89.88671875" bestFit="1" customWidth="1"/>
    <col min="7" max="7" width="55.44140625" bestFit="1" customWidth="1"/>
    <col min="8" max="10" width="14.21875" bestFit="1" customWidth="1"/>
    <col min="11" max="11" width="14.21875" customWidth="1"/>
    <col min="12" max="14" width="15.21875" bestFit="1" customWidth="1"/>
    <col min="15" max="15" width="15.21875" customWidth="1"/>
    <col min="16" max="18" width="21" bestFit="1" customWidth="1"/>
    <col min="19" max="19" width="21" customWidth="1"/>
    <col min="20" max="20" width="16.5546875" bestFit="1" customWidth="1"/>
    <col min="21" max="21" width="13.88671875" bestFit="1" customWidth="1"/>
    <col min="22" max="22" width="12.77734375" bestFit="1" customWidth="1"/>
    <col min="23" max="23" width="48.44140625" bestFit="1" customWidth="1"/>
    <col min="24" max="24" width="37" bestFit="1" customWidth="1"/>
    <col min="25" max="25" width="69.109375" bestFit="1" customWidth="1"/>
    <col min="26" max="26" width="59.88671875" bestFit="1" customWidth="1"/>
    <col min="27" max="27" width="52.44140625" bestFit="1" customWidth="1"/>
    <col min="28" max="28" width="54.109375" bestFit="1" customWidth="1"/>
    <col min="29" max="29" width="57.88671875" bestFit="1" customWidth="1"/>
    <col min="30" max="30" width="52.77734375" bestFit="1" customWidth="1"/>
    <col min="31" max="31" width="53.33203125" customWidth="1"/>
    <col min="32" max="32" width="56" bestFit="1" customWidth="1"/>
    <col min="33" max="33" width="47.44140625" bestFit="1" customWidth="1"/>
    <col min="34" max="34" width="56.6640625" bestFit="1" customWidth="1"/>
    <col min="35" max="35" width="46.44140625" bestFit="1" customWidth="1"/>
    <col min="36" max="36" width="39.21875" bestFit="1" customWidth="1"/>
    <col min="37" max="37" width="45.44140625" bestFit="1" customWidth="1"/>
    <col min="38" max="38" width="20.5546875" customWidth="1"/>
  </cols>
  <sheetData>
    <row r="1" spans="1:38" s="2" customFormat="1" ht="14.4" x14ac:dyDescent="0.3">
      <c r="A1" s="3" t="s">
        <v>0</v>
      </c>
      <c r="B1" s="3" t="s">
        <v>246</v>
      </c>
      <c r="C1" s="3" t="s">
        <v>1</v>
      </c>
      <c r="D1" s="3" t="s">
        <v>2</v>
      </c>
      <c r="E1" s="3" t="s">
        <v>3</v>
      </c>
      <c r="F1" s="3" t="s">
        <v>4</v>
      </c>
      <c r="G1" s="3" t="s">
        <v>5</v>
      </c>
      <c r="H1" s="3" t="s">
        <v>169</v>
      </c>
      <c r="I1" s="3" t="s">
        <v>173</v>
      </c>
      <c r="J1" s="3" t="s">
        <v>172</v>
      </c>
      <c r="K1" s="3" t="s">
        <v>170</v>
      </c>
      <c r="L1" s="3" t="s">
        <v>174</v>
      </c>
      <c r="M1" s="3" t="s">
        <v>175</v>
      </c>
      <c r="N1" s="3" t="s">
        <v>176</v>
      </c>
      <c r="O1" s="3" t="s">
        <v>177</v>
      </c>
      <c r="P1" s="3" t="s">
        <v>178</v>
      </c>
      <c r="Q1" s="3" t="s">
        <v>179</v>
      </c>
      <c r="R1" s="3" t="s">
        <v>180</v>
      </c>
      <c r="S1" s="3" t="s">
        <v>181</v>
      </c>
      <c r="T1" s="3" t="s">
        <v>6</v>
      </c>
      <c r="U1" s="3" t="s">
        <v>182</v>
      </c>
      <c r="V1" s="3" t="s">
        <v>183</v>
      </c>
      <c r="W1" s="3" t="s">
        <v>7</v>
      </c>
      <c r="X1" s="3" t="s">
        <v>8</v>
      </c>
      <c r="Y1" s="2" t="s">
        <v>185</v>
      </c>
      <c r="Z1" s="2" t="s">
        <v>186</v>
      </c>
      <c r="AA1" s="2" t="s">
        <v>187</v>
      </c>
      <c r="AB1" s="2" t="s">
        <v>188</v>
      </c>
      <c r="AC1" s="2" t="s">
        <v>189</v>
      </c>
      <c r="AD1" s="2" t="s">
        <v>190</v>
      </c>
      <c r="AE1" s="2" t="s">
        <v>191</v>
      </c>
      <c r="AF1" s="2" t="s">
        <v>192</v>
      </c>
      <c r="AG1" s="2" t="s">
        <v>193</v>
      </c>
      <c r="AH1" s="2" t="s">
        <v>194</v>
      </c>
      <c r="AI1" s="2" t="s">
        <v>195</v>
      </c>
      <c r="AJ1" s="2" t="s">
        <v>196</v>
      </c>
      <c r="AK1" s="2" t="s">
        <v>197</v>
      </c>
      <c r="AL1" s="2" t="s">
        <v>225</v>
      </c>
    </row>
    <row r="2" spans="1:38" s="2" customFormat="1" ht="14.4" x14ac:dyDescent="0.3">
      <c r="A2" s="3" t="str">
        <f>A1</f>
        <v>Build</v>
      </c>
      <c r="B2" s="3" t="s">
        <v>246</v>
      </c>
      <c r="C2" s="3" t="str">
        <f t="shared" ref="C2:G2" si="0">C1</f>
        <v>Name</v>
      </c>
      <c r="D2" s="3" t="str">
        <f t="shared" si="0"/>
        <v>Hostname</v>
      </c>
      <c r="E2" s="3" t="str">
        <f t="shared" si="0"/>
        <v>Description</v>
      </c>
      <c r="F2" s="3" t="str">
        <f t="shared" si="0"/>
        <v>Configuration Description</v>
      </c>
      <c r="G2" s="3" t="str">
        <f t="shared" si="0"/>
        <v>Startup Instructions</v>
      </c>
      <c r="H2" s="3" t="str" cm="1">
        <f t="array" ref="H2">_xlfn.CONCAT(H1, "_LEN_", MAX(LEN(H3:K13)))</f>
        <v>Service1_LEN_11</v>
      </c>
      <c r="I2" s="3" t="str" cm="1">
        <f t="array" ref="I2">_xlfn.CONCAT(I1, "_LEN_", MAX(LEN(H3:K13)))</f>
        <v>Service2_LEN_11</v>
      </c>
      <c r="J2" s="3" t="str" cm="1">
        <f t="array" ref="J2">_xlfn.CONCAT(J1, "_LEN_", MAX(LEN(H3:K13)))</f>
        <v>Service3_LEN_11</v>
      </c>
      <c r="K2" s="3" t="str" cm="1">
        <f t="array" ref="K2">_xlfn.CONCAT(K1, "_LEN_", MAX(LEN(H3:K13)))</f>
        <v>Service_TITLE_LEN_11</v>
      </c>
      <c r="L2" s="3" t="str" cm="1">
        <f t="array" ref="L2">_xlfn.CONCAT(L1, "_LEN_", MAX(LEN(L3:O13)))</f>
        <v>Version1_LEN_9</v>
      </c>
      <c r="M2" s="3" t="str" cm="1">
        <f t="array" ref="M2">_xlfn.CONCAT(M1, "_LEN_", MAX(LEN(L3:O13)))</f>
        <v>Version2_LEN_9</v>
      </c>
      <c r="N2" s="3" t="str" cm="1">
        <f t="array" ref="N2">_xlfn.CONCAT(N1, "_LEN_", MAX(LEN(L3:O13)))</f>
        <v>Version3_LEN_9</v>
      </c>
      <c r="O2" s="3" t="str" cm="1">
        <f t="array" ref="O2">_xlfn.CONCAT(O1, "_LEN_", MAX(LEN(L3:O13)))</f>
        <v>Version_TITLE_LEN_9</v>
      </c>
      <c r="P2" s="3" t="str" cm="1">
        <f t="array" ref="P2">_xlfn.CONCAT(P1, "_LEN_", MAX(LEN(P3:S13)))</f>
        <v>Containerized1_LEN_13</v>
      </c>
      <c r="Q2" s="3" t="str" cm="1">
        <f t="array" ref="Q2">_xlfn.CONCAT(Q1, "_LEN_", MAX(LEN(P3:S13)))</f>
        <v>Containerized2_LEN_13</v>
      </c>
      <c r="R2" s="3" t="str" cm="1">
        <f t="array" ref="R2">_xlfn.CONCAT(R1, "_LEN_", MAX(LEN(P3:S13)))</f>
        <v>Containerized3_LEN_13</v>
      </c>
      <c r="S2" s="3" t="str" cm="1">
        <f t="array" ref="S2">_xlfn.CONCAT(S1, "_LEN_", MAX(LEN(P3:S13)))</f>
        <v>Containerized_TITLE_LEN_13</v>
      </c>
      <c r="T2" s="3" t="str">
        <f>T1</f>
        <v>OS</v>
      </c>
      <c r="U2" s="3" t="str" cm="1">
        <f t="array" ref="U2">_xlfn.CONCAT(U1,"_LEN_", MAX(LEN(U3:V13)))</f>
        <v>NIC0_LEN_14</v>
      </c>
      <c r="V2" s="3" t="str" cm="1">
        <f t="array" ref="V2">_xlfn.CONCAT(V1,"_LEN_", MAX(LEN(U3:V13)))</f>
        <v>NIC1_LEN_14</v>
      </c>
      <c r="W2" s="3" t="str">
        <f>W1</f>
        <v>Certificates</v>
      </c>
      <c r="X2" s="3" t="str">
        <f>X1</f>
        <v>GitHub Folder</v>
      </c>
      <c r="Y2" s="3" t="str" cm="1">
        <f t="array" ref="Y2">_xlfn.CONCAT(Y1,"_LEN_", MAX(LEN($Y$3:$AK$13)))</f>
        <v>Config1_LEN_78</v>
      </c>
      <c r="Z2" s="3" t="str" cm="1">
        <f t="array" ref="Z2">_xlfn.CONCAT(Z1,"_LEN_", MAX(LEN($Y$3:$AK$13)))</f>
        <v>Config2_LEN_78</v>
      </c>
      <c r="AA2" s="3" t="str" cm="1">
        <f t="array" ref="AA2">_xlfn.CONCAT(AA1,"_LEN_", MAX(LEN($Y$3:$AK$13)))</f>
        <v>Config3_LEN_78</v>
      </c>
      <c r="AB2" s="3" t="str" cm="1">
        <f t="array" ref="AB2">_xlfn.CONCAT(AB1,"_LEN_", MAX(LEN($Y$3:$AK$13)))</f>
        <v>Config4_LEN_78</v>
      </c>
      <c r="AC2" s="3" t="str" cm="1">
        <f t="array" ref="AC2">_xlfn.CONCAT(AC1,"_LEN_", MAX(LEN($Y$3:$AK$13)))</f>
        <v>Config5_LEN_78</v>
      </c>
      <c r="AD2" s="3" t="str" cm="1">
        <f t="array" ref="AD2">_xlfn.CONCAT(AD1,"_LEN_", MAX(LEN($Y$3:$AK$13)))</f>
        <v>Config6_LEN_78</v>
      </c>
      <c r="AE2" s="3" t="str" cm="1">
        <f t="array" ref="AE2">_xlfn.CONCAT(AE1,"_LEN_", MAX(LEN($Y$3:$AK$13)))</f>
        <v>Config7_LEN_78</v>
      </c>
      <c r="AF2" s="3" t="str" cm="1">
        <f t="array" ref="AF2">_xlfn.CONCAT(AF1,"_LEN_", MAX(LEN($Y$3:$AK$13)))</f>
        <v>Config8_LEN_78</v>
      </c>
      <c r="AG2" s="3" t="str" cm="1">
        <f t="array" ref="AG2">_xlfn.CONCAT(AG1,"_LEN_", MAX(LEN($Y$3:$AK$13)))</f>
        <v>Config9_LEN_78</v>
      </c>
      <c r="AH2" s="3" t="str" cm="1">
        <f t="array" ref="AH2">_xlfn.CONCAT(AH1,"_LEN_", MAX(LEN($Y$3:$AK$13)))</f>
        <v>Config10_LEN_78</v>
      </c>
      <c r="AI2" s="3" t="str" cm="1">
        <f t="array" ref="AI2">_xlfn.CONCAT(AI1,"_LEN_", MAX(LEN($Y$3:$AK$13)))</f>
        <v>Config11_LEN_78</v>
      </c>
      <c r="AJ2" s="3" t="str" cm="1">
        <f t="array" ref="AJ2">_xlfn.CONCAT(AJ1,"_LEN_", MAX(LEN($Y$3:$AK$13)))</f>
        <v>Config12_LEN_78</v>
      </c>
      <c r="AK2" s="3" t="str" cm="1">
        <f t="array" ref="AK2">_xlfn.CONCAT(AK1,"_LEN_", MAX(LEN($Y$3:$AK$13)))</f>
        <v>Config13_LEN_78</v>
      </c>
      <c r="AL2" s="3" t="str" cm="1">
        <f t="array" ref="AL2">_xlfn.CONCAT(AL1,"_LEN_", MAX(LEN($Y$3:$AK$13)))</f>
        <v>Config_TITLE_LEN_78</v>
      </c>
    </row>
    <row r="3" spans="1:38" s="2" customFormat="1" ht="126" customHeight="1" x14ac:dyDescent="0.3">
      <c r="A3" s="3" t="s">
        <v>9</v>
      </c>
      <c r="B3" s="3" t="s">
        <v>235</v>
      </c>
      <c r="C3" s="3" t="s">
        <v>10</v>
      </c>
      <c r="D3" s="3" t="s">
        <v>11</v>
      </c>
      <c r="E3" s="4" t="s">
        <v>12</v>
      </c>
      <c r="F3" s="4" t="s">
        <v>157</v>
      </c>
      <c r="G3" s="4" t="s">
        <v>229</v>
      </c>
      <c r="H3" s="4" t="s">
        <v>13</v>
      </c>
      <c r="I3" s="4" t="s">
        <v>10</v>
      </c>
      <c r="J3" s="4" t="s">
        <v>14</v>
      </c>
      <c r="K3" s="4" t="s">
        <v>171</v>
      </c>
      <c r="L3" s="4" t="s">
        <v>15</v>
      </c>
      <c r="M3" s="4" t="s">
        <v>16</v>
      </c>
      <c r="N3" s="3" t="s">
        <v>17</v>
      </c>
      <c r="O3" s="3" t="s">
        <v>224</v>
      </c>
      <c r="P3" s="4" t="s">
        <v>18</v>
      </c>
      <c r="Q3" s="4" t="s">
        <v>19</v>
      </c>
      <c r="R3" s="4" t="s">
        <v>18</v>
      </c>
      <c r="S3" s="6" t="s">
        <v>184</v>
      </c>
      <c r="T3" s="3" t="s">
        <v>20</v>
      </c>
      <c r="U3" s="3" t="s">
        <v>21</v>
      </c>
      <c r="V3" s="3" t="s">
        <v>22</v>
      </c>
      <c r="W3" s="3" t="s">
        <v>232</v>
      </c>
      <c r="X3" s="4" t="s">
        <v>23</v>
      </c>
      <c r="Y3" s="2" t="s">
        <v>96</v>
      </c>
      <c r="Z3" s="2" t="s">
        <v>97</v>
      </c>
      <c r="AA3" s="2" t="s">
        <v>98</v>
      </c>
      <c r="AB3" s="2" t="s">
        <v>99</v>
      </c>
      <c r="AC3" s="2" t="s">
        <v>100</v>
      </c>
      <c r="AD3" s="2" t="s">
        <v>101</v>
      </c>
      <c r="AE3" s="2" t="s">
        <v>102</v>
      </c>
      <c r="AF3" s="2" t="s">
        <v>103</v>
      </c>
      <c r="AG3" s="2" t="s">
        <v>49</v>
      </c>
      <c r="AH3" s="2" t="s">
        <v>51</v>
      </c>
      <c r="AI3" s="2" t="s">
        <v>104</v>
      </c>
      <c r="AL3" s="2" t="s">
        <v>226</v>
      </c>
    </row>
    <row r="4" spans="1:38" s="2" customFormat="1" ht="138" customHeight="1" x14ac:dyDescent="0.3">
      <c r="A4" s="3" t="s">
        <v>9</v>
      </c>
      <c r="B4" s="3" t="s">
        <v>236</v>
      </c>
      <c r="C4" s="3" t="s">
        <v>24</v>
      </c>
      <c r="D4" s="3" t="s">
        <v>25</v>
      </c>
      <c r="E4" s="4" t="s">
        <v>26</v>
      </c>
      <c r="F4" s="4" t="s">
        <v>233</v>
      </c>
      <c r="G4" s="5" t="s">
        <v>230</v>
      </c>
      <c r="H4" s="4" t="s">
        <v>27</v>
      </c>
      <c r="I4" s="3" t="s">
        <v>28</v>
      </c>
      <c r="J4" s="4" t="s">
        <v>14</v>
      </c>
      <c r="K4" s="4" t="s">
        <v>171</v>
      </c>
      <c r="L4" s="3" t="s">
        <v>29</v>
      </c>
      <c r="M4" s="3" t="s">
        <v>30</v>
      </c>
      <c r="N4" s="3" t="s">
        <v>17</v>
      </c>
      <c r="O4" s="3" t="s">
        <v>224</v>
      </c>
      <c r="P4" s="3" t="s">
        <v>18</v>
      </c>
      <c r="Q4" s="3" t="s">
        <v>18</v>
      </c>
      <c r="R4" s="3" t="s">
        <v>18</v>
      </c>
      <c r="S4" s="6" t="s">
        <v>184</v>
      </c>
      <c r="T4" s="3" t="s">
        <v>20</v>
      </c>
      <c r="U4" s="3" t="s">
        <v>31</v>
      </c>
      <c r="V4" s="3" t="s">
        <v>32</v>
      </c>
      <c r="W4" s="3" t="s">
        <v>152</v>
      </c>
      <c r="X4" s="4" t="s">
        <v>33</v>
      </c>
      <c r="Y4" s="2" t="s">
        <v>105</v>
      </c>
      <c r="Z4" s="2" t="s">
        <v>106</v>
      </c>
      <c r="AA4" s="2" t="s">
        <v>108</v>
      </c>
      <c r="AB4" s="2" t="s">
        <v>109</v>
      </c>
      <c r="AF4" s="2" t="s">
        <v>103</v>
      </c>
      <c r="AG4" s="2" t="s">
        <v>49</v>
      </c>
      <c r="AH4" s="2" t="s">
        <v>51</v>
      </c>
      <c r="AI4" s="2" t="s">
        <v>107</v>
      </c>
      <c r="AL4" s="2" t="s">
        <v>226</v>
      </c>
    </row>
    <row r="5" spans="1:38" s="2" customFormat="1" ht="216" x14ac:dyDescent="0.3">
      <c r="A5" s="3" t="s">
        <v>9</v>
      </c>
      <c r="B5" s="3" t="s">
        <v>237</v>
      </c>
      <c r="C5" s="3" t="s">
        <v>34</v>
      </c>
      <c r="D5" s="3" t="s">
        <v>35</v>
      </c>
      <c r="E5" s="4" t="s">
        <v>36</v>
      </c>
      <c r="F5" s="4" t="s">
        <v>156</v>
      </c>
      <c r="G5" s="5" t="s">
        <v>229</v>
      </c>
      <c r="H5" s="4" t="s">
        <v>13</v>
      </c>
      <c r="I5" s="4" t="s">
        <v>34</v>
      </c>
      <c r="J5" s="4" t="s">
        <v>14</v>
      </c>
      <c r="K5" s="4" t="s">
        <v>171</v>
      </c>
      <c r="L5" s="4" t="s">
        <v>15</v>
      </c>
      <c r="M5" s="4">
        <v>20</v>
      </c>
      <c r="N5" s="3" t="s">
        <v>17</v>
      </c>
      <c r="O5" s="3" t="s">
        <v>224</v>
      </c>
      <c r="P5" s="4" t="s">
        <v>18</v>
      </c>
      <c r="Q5" s="3" t="s">
        <v>19</v>
      </c>
      <c r="R5" s="3" t="s">
        <v>18</v>
      </c>
      <c r="S5" s="6" t="s">
        <v>184</v>
      </c>
      <c r="T5" s="3" t="s">
        <v>20</v>
      </c>
      <c r="U5" s="3" t="s">
        <v>37</v>
      </c>
      <c r="V5" s="3" t="s">
        <v>38</v>
      </c>
      <c r="W5" s="3" t="s">
        <v>153</v>
      </c>
      <c r="X5" s="4" t="s">
        <v>39</v>
      </c>
      <c r="Y5" s="2" t="s">
        <v>110</v>
      </c>
      <c r="Z5" s="2" t="s">
        <v>111</v>
      </c>
      <c r="AF5" s="2" t="s">
        <v>103</v>
      </c>
      <c r="AG5" s="2" t="s">
        <v>49</v>
      </c>
      <c r="AH5" s="2" t="s">
        <v>51</v>
      </c>
      <c r="AI5" s="2" t="s">
        <v>104</v>
      </c>
      <c r="AL5" s="2" t="s">
        <v>226</v>
      </c>
    </row>
    <row r="6" spans="1:38" s="2" customFormat="1" ht="313.5" customHeight="1" x14ac:dyDescent="0.3">
      <c r="A6" s="3" t="s">
        <v>9</v>
      </c>
      <c r="B6" s="3" t="s">
        <v>238</v>
      </c>
      <c r="C6" s="3" t="s">
        <v>40</v>
      </c>
      <c r="D6" s="3" t="s">
        <v>41</v>
      </c>
      <c r="E6" s="4" t="s">
        <v>42</v>
      </c>
      <c r="F6" s="4" t="s">
        <v>154</v>
      </c>
      <c r="G6" s="4" t="s">
        <v>43</v>
      </c>
      <c r="H6" s="4" t="s">
        <v>40</v>
      </c>
      <c r="I6" s="3"/>
      <c r="J6" s="4" t="s">
        <v>14</v>
      </c>
      <c r="K6" s="4" t="s">
        <v>171</v>
      </c>
      <c r="L6" s="3" t="s">
        <v>44</v>
      </c>
      <c r="M6" s="3"/>
      <c r="N6" s="3" t="s">
        <v>17</v>
      </c>
      <c r="O6" s="3" t="s">
        <v>224</v>
      </c>
      <c r="P6" s="3" t="s">
        <v>18</v>
      </c>
      <c r="Q6" s="3"/>
      <c r="R6" s="3" t="s">
        <v>18</v>
      </c>
      <c r="S6" s="6" t="s">
        <v>184</v>
      </c>
      <c r="T6" s="3" t="s">
        <v>20</v>
      </c>
      <c r="U6" s="3" t="s">
        <v>45</v>
      </c>
      <c r="V6" s="3" t="s">
        <v>46</v>
      </c>
      <c r="W6" s="3" t="s">
        <v>151</v>
      </c>
      <c r="X6" s="4" t="s">
        <v>47</v>
      </c>
      <c r="Y6" s="2" t="s">
        <v>48</v>
      </c>
      <c r="Z6" s="2" t="s">
        <v>50</v>
      </c>
      <c r="AF6" s="2" t="s">
        <v>103</v>
      </c>
      <c r="AG6" s="2" t="s">
        <v>49</v>
      </c>
      <c r="AH6" s="2" t="s">
        <v>51</v>
      </c>
      <c r="AI6" s="2" t="s">
        <v>52</v>
      </c>
      <c r="AL6" s="2" t="s">
        <v>226</v>
      </c>
    </row>
    <row r="7" spans="1:38" s="1" customFormat="1" ht="158.4" x14ac:dyDescent="0.3">
      <c r="A7" s="6" t="s">
        <v>53</v>
      </c>
      <c r="B7" s="6" t="s">
        <v>239</v>
      </c>
      <c r="C7" s="6" t="s">
        <v>54</v>
      </c>
      <c r="D7" s="6" t="s">
        <v>55</v>
      </c>
      <c r="E7" s="7" t="s">
        <v>56</v>
      </c>
      <c r="F7" s="8" t="s">
        <v>155</v>
      </c>
      <c r="G7" s="8" t="s">
        <v>85</v>
      </c>
      <c r="H7" s="7" t="s">
        <v>13</v>
      </c>
      <c r="I7" s="8"/>
      <c r="J7" s="8" t="s">
        <v>14</v>
      </c>
      <c r="K7" s="4" t="s">
        <v>171</v>
      </c>
      <c r="L7" s="8" t="s">
        <v>15</v>
      </c>
      <c r="M7" s="8"/>
      <c r="N7" s="8" t="s">
        <v>17</v>
      </c>
      <c r="O7" s="3" t="s">
        <v>224</v>
      </c>
      <c r="P7" s="8" t="s">
        <v>19</v>
      </c>
      <c r="Q7" s="8"/>
      <c r="R7" s="6" t="s">
        <v>19</v>
      </c>
      <c r="S7" s="6" t="s">
        <v>184</v>
      </c>
      <c r="T7" s="6" t="s">
        <v>20</v>
      </c>
      <c r="U7" s="6" t="s">
        <v>57</v>
      </c>
      <c r="V7" s="6" t="s">
        <v>58</v>
      </c>
      <c r="W7" s="6" t="s">
        <v>153</v>
      </c>
      <c r="X7" s="1" t="s">
        <v>59</v>
      </c>
      <c r="Y7" s="1" t="s">
        <v>112</v>
      </c>
      <c r="Z7" s="1" t="s">
        <v>113</v>
      </c>
      <c r="AA7" s="1" t="s">
        <v>114</v>
      </c>
      <c r="AB7" s="1" t="s">
        <v>118</v>
      </c>
      <c r="AC7" s="1" t="s">
        <v>119</v>
      </c>
      <c r="AD7" s="1" t="s">
        <v>115</v>
      </c>
      <c r="AE7" s="1" t="s">
        <v>116</v>
      </c>
      <c r="AF7" s="1" t="s">
        <v>117</v>
      </c>
      <c r="AL7" s="2" t="s">
        <v>226</v>
      </c>
    </row>
    <row r="8" spans="1:38" s="1" customFormat="1" ht="165" customHeight="1" x14ac:dyDescent="0.3">
      <c r="A8" s="6" t="s">
        <v>53</v>
      </c>
      <c r="B8" s="6" t="s">
        <v>240</v>
      </c>
      <c r="C8" s="6" t="s">
        <v>10</v>
      </c>
      <c r="D8" s="6" t="s">
        <v>60</v>
      </c>
      <c r="E8" s="7" t="s">
        <v>61</v>
      </c>
      <c r="F8" s="8" t="s">
        <v>158</v>
      </c>
      <c r="G8" s="7" t="s">
        <v>84</v>
      </c>
      <c r="H8" s="7" t="s">
        <v>13</v>
      </c>
      <c r="I8" s="8" t="s">
        <v>10</v>
      </c>
      <c r="J8" s="8" t="s">
        <v>14</v>
      </c>
      <c r="K8" s="4" t="s">
        <v>171</v>
      </c>
      <c r="L8" s="8" t="s">
        <v>15</v>
      </c>
      <c r="M8" s="8" t="s">
        <v>16</v>
      </c>
      <c r="N8" s="8" t="s">
        <v>17</v>
      </c>
      <c r="O8" s="3" t="s">
        <v>224</v>
      </c>
      <c r="P8" s="8" t="s">
        <v>19</v>
      </c>
      <c r="Q8" s="8" t="s">
        <v>19</v>
      </c>
      <c r="R8" s="6" t="s">
        <v>19</v>
      </c>
      <c r="S8" s="6" t="s">
        <v>184</v>
      </c>
      <c r="T8" s="6" t="s">
        <v>20</v>
      </c>
      <c r="U8" s="6" t="s">
        <v>62</v>
      </c>
      <c r="V8" s="6" t="s">
        <v>63</v>
      </c>
      <c r="W8" s="6" t="s">
        <v>153</v>
      </c>
      <c r="X8" s="1" t="s">
        <v>64</v>
      </c>
      <c r="Y8" s="1" t="s">
        <v>128</v>
      </c>
      <c r="Z8" s="1" t="s">
        <v>131</v>
      </c>
      <c r="AA8" s="1" t="s">
        <v>132</v>
      </c>
      <c r="AB8" s="1" t="s">
        <v>129</v>
      </c>
      <c r="AC8" s="1" t="s">
        <v>130</v>
      </c>
      <c r="AD8" s="1" t="s">
        <v>133</v>
      </c>
      <c r="AE8" s="1" t="s">
        <v>102</v>
      </c>
      <c r="AF8" s="1" t="s">
        <v>134</v>
      </c>
      <c r="AG8" s="1" t="s">
        <v>136</v>
      </c>
      <c r="AH8" s="1" t="s">
        <v>135</v>
      </c>
      <c r="AI8" s="1" t="s">
        <v>137</v>
      </c>
      <c r="AJ8" s="1" t="s">
        <v>138</v>
      </c>
      <c r="AK8" s="1" t="s">
        <v>139</v>
      </c>
      <c r="AL8" s="2" t="s">
        <v>226</v>
      </c>
    </row>
    <row r="9" spans="1:38" s="1" customFormat="1" ht="244.8" x14ac:dyDescent="0.3">
      <c r="A9" s="6" t="s">
        <v>53</v>
      </c>
      <c r="B9" s="6" t="s">
        <v>241</v>
      </c>
      <c r="C9" s="6" t="s">
        <v>24</v>
      </c>
      <c r="D9" s="6" t="s">
        <v>65</v>
      </c>
      <c r="E9" s="7" t="s">
        <v>83</v>
      </c>
      <c r="F9" s="7" t="s">
        <v>159</v>
      </c>
      <c r="G9" s="7" t="s">
        <v>84</v>
      </c>
      <c r="H9" s="6" t="s">
        <v>27</v>
      </c>
      <c r="I9" s="8" t="s">
        <v>28</v>
      </c>
      <c r="J9" s="8" t="s">
        <v>14</v>
      </c>
      <c r="K9" s="4" t="s">
        <v>171</v>
      </c>
      <c r="L9" s="8" t="s">
        <v>29</v>
      </c>
      <c r="M9" s="8" t="s">
        <v>30</v>
      </c>
      <c r="N9" s="8" t="s">
        <v>17</v>
      </c>
      <c r="O9" s="3" t="s">
        <v>224</v>
      </c>
      <c r="P9" s="8" t="s">
        <v>19</v>
      </c>
      <c r="Q9" s="8" t="s">
        <v>19</v>
      </c>
      <c r="R9" s="6" t="s">
        <v>19</v>
      </c>
      <c r="S9" s="6" t="s">
        <v>184</v>
      </c>
      <c r="T9" s="6" t="s">
        <v>20</v>
      </c>
      <c r="U9" s="6" t="s">
        <v>66</v>
      </c>
      <c r="V9" s="6" t="s">
        <v>67</v>
      </c>
      <c r="W9" s="6" t="s">
        <v>152</v>
      </c>
      <c r="X9" s="1" t="s">
        <v>68</v>
      </c>
      <c r="Y9" s="1" t="s">
        <v>140</v>
      </c>
      <c r="Z9" s="1" t="s">
        <v>141</v>
      </c>
      <c r="AA9" s="1" t="s">
        <v>142</v>
      </c>
      <c r="AB9" s="1" t="s">
        <v>143</v>
      </c>
      <c r="AC9" s="1" t="s">
        <v>144</v>
      </c>
      <c r="AD9" s="1" t="s">
        <v>145</v>
      </c>
      <c r="AE9" s="1" t="s">
        <v>146</v>
      </c>
      <c r="AF9" s="1" t="s">
        <v>148</v>
      </c>
      <c r="AG9" s="1" t="s">
        <v>149</v>
      </c>
      <c r="AH9" s="1" t="s">
        <v>147</v>
      </c>
      <c r="AI9" s="1" t="s">
        <v>150</v>
      </c>
      <c r="AL9" s="2" t="s">
        <v>226</v>
      </c>
    </row>
    <row r="10" spans="1:38" s="1" customFormat="1" ht="126.75" customHeight="1" x14ac:dyDescent="0.3">
      <c r="A10" s="6" t="s">
        <v>53</v>
      </c>
      <c r="B10" s="6" t="s">
        <v>242</v>
      </c>
      <c r="C10" s="6" t="s">
        <v>34</v>
      </c>
      <c r="D10" s="6" t="s">
        <v>69</v>
      </c>
      <c r="E10" s="7" t="s">
        <v>56</v>
      </c>
      <c r="F10" s="7" t="s">
        <v>160</v>
      </c>
      <c r="G10" s="7" t="s">
        <v>84</v>
      </c>
      <c r="H10" s="7" t="s">
        <v>13</v>
      </c>
      <c r="I10" s="8" t="s">
        <v>34</v>
      </c>
      <c r="J10" s="8" t="s">
        <v>14</v>
      </c>
      <c r="K10" s="4" t="s">
        <v>171</v>
      </c>
      <c r="L10" s="8" t="s">
        <v>15</v>
      </c>
      <c r="M10" s="8">
        <v>20</v>
      </c>
      <c r="N10" s="8" t="s">
        <v>17</v>
      </c>
      <c r="O10" s="3" t="s">
        <v>224</v>
      </c>
      <c r="P10" s="8" t="s">
        <v>19</v>
      </c>
      <c r="Q10" s="8" t="s">
        <v>19</v>
      </c>
      <c r="R10" s="6" t="s">
        <v>19</v>
      </c>
      <c r="S10" s="6" t="s">
        <v>184</v>
      </c>
      <c r="T10" s="6" t="s">
        <v>20</v>
      </c>
      <c r="U10" s="6" t="s">
        <v>70</v>
      </c>
      <c r="V10" s="6" t="s">
        <v>71</v>
      </c>
      <c r="W10" s="6" t="s">
        <v>153</v>
      </c>
      <c r="X10" s="1" t="s">
        <v>72</v>
      </c>
      <c r="Y10" s="1" t="s">
        <v>120</v>
      </c>
      <c r="Z10" s="1" t="s">
        <v>121</v>
      </c>
      <c r="AA10" s="1" t="s">
        <v>124</v>
      </c>
      <c r="AB10" s="1" t="s">
        <v>122</v>
      </c>
      <c r="AC10" s="1" t="s">
        <v>123</v>
      </c>
      <c r="AD10" s="1" t="s">
        <v>125</v>
      </c>
      <c r="AE10" s="1" t="s">
        <v>126</v>
      </c>
      <c r="AF10" s="1" t="s">
        <v>127</v>
      </c>
      <c r="AL10" s="2" t="s">
        <v>226</v>
      </c>
    </row>
    <row r="11" spans="1:38" s="1" customFormat="1" ht="127.5" customHeight="1" x14ac:dyDescent="0.3">
      <c r="A11" s="6" t="s">
        <v>53</v>
      </c>
      <c r="B11" s="6" t="s">
        <v>243</v>
      </c>
      <c r="C11" s="6" t="s">
        <v>40</v>
      </c>
      <c r="D11" s="6" t="s">
        <v>73</v>
      </c>
      <c r="E11" s="7" t="s">
        <v>42</v>
      </c>
      <c r="F11" s="7" t="s">
        <v>160</v>
      </c>
      <c r="G11" s="7" t="s">
        <v>43</v>
      </c>
      <c r="H11" s="6" t="s">
        <v>40</v>
      </c>
      <c r="I11" s="8"/>
      <c r="J11" s="8" t="s">
        <v>14</v>
      </c>
      <c r="K11" s="4" t="s">
        <v>171</v>
      </c>
      <c r="L11" s="8" t="s">
        <v>74</v>
      </c>
      <c r="M11" s="8"/>
      <c r="N11" s="8" t="s">
        <v>17</v>
      </c>
      <c r="O11" s="3" t="s">
        <v>224</v>
      </c>
      <c r="P11" s="8" t="s">
        <v>18</v>
      </c>
      <c r="Q11" s="8"/>
      <c r="R11" s="6" t="s">
        <v>19</v>
      </c>
      <c r="S11" s="6" t="s">
        <v>184</v>
      </c>
      <c r="T11" s="6" t="s">
        <v>20</v>
      </c>
      <c r="U11" s="6" t="s">
        <v>75</v>
      </c>
      <c r="V11" s="6" t="s">
        <v>76</v>
      </c>
      <c r="W11" s="6" t="s">
        <v>151</v>
      </c>
      <c r="X11" s="1" t="s">
        <v>77</v>
      </c>
      <c r="Y11" s="1" t="s">
        <v>48</v>
      </c>
      <c r="Z11" s="1" t="s">
        <v>50</v>
      </c>
      <c r="AF11" s="1" t="s">
        <v>103</v>
      </c>
      <c r="AG11" s="1" t="s">
        <v>49</v>
      </c>
      <c r="AH11" s="1" t="s">
        <v>51</v>
      </c>
      <c r="AI11" s="1" t="s">
        <v>52</v>
      </c>
      <c r="AL11" s="2" t="s">
        <v>226</v>
      </c>
    </row>
    <row r="12" spans="1:38" s="1" customFormat="1" ht="126.75" customHeight="1" x14ac:dyDescent="0.3">
      <c r="A12" s="6" t="s">
        <v>53</v>
      </c>
      <c r="B12" s="6" t="s">
        <v>244</v>
      </c>
      <c r="C12" s="6" t="s">
        <v>78</v>
      </c>
      <c r="D12" s="6" t="s">
        <v>79</v>
      </c>
      <c r="E12" s="7" t="s">
        <v>87</v>
      </c>
      <c r="F12" s="7" t="s">
        <v>163</v>
      </c>
      <c r="G12" s="7" t="s">
        <v>86</v>
      </c>
      <c r="H12" s="7" t="s">
        <v>78</v>
      </c>
      <c r="I12" s="8"/>
      <c r="J12" s="8"/>
      <c r="K12" s="4" t="s">
        <v>171</v>
      </c>
      <c r="L12" s="8" t="s">
        <v>92</v>
      </c>
      <c r="M12" s="8"/>
      <c r="N12" s="8"/>
      <c r="O12" s="3" t="s">
        <v>224</v>
      </c>
      <c r="P12" s="8" t="s">
        <v>18</v>
      </c>
      <c r="Q12" s="8"/>
      <c r="R12" s="6"/>
      <c r="S12" s="6" t="s">
        <v>184</v>
      </c>
      <c r="T12" s="6" t="s">
        <v>20</v>
      </c>
      <c r="U12" s="6" t="s">
        <v>94</v>
      </c>
      <c r="V12" s="6" t="s">
        <v>16</v>
      </c>
      <c r="W12" s="6" t="s">
        <v>95</v>
      </c>
      <c r="X12" s="1" t="s">
        <v>161</v>
      </c>
      <c r="Y12" s="1" t="s">
        <v>162</v>
      </c>
      <c r="AL12" s="2" t="s">
        <v>226</v>
      </c>
    </row>
    <row r="13" spans="1:38" s="1" customFormat="1" ht="126.75" customHeight="1" x14ac:dyDescent="0.3">
      <c r="A13" s="6" t="s">
        <v>80</v>
      </c>
      <c r="B13" s="6" t="s">
        <v>245</v>
      </c>
      <c r="C13" s="6" t="s">
        <v>81</v>
      </c>
      <c r="D13" s="6" t="s">
        <v>82</v>
      </c>
      <c r="E13" s="7" t="s">
        <v>88</v>
      </c>
      <c r="F13" s="7" t="s">
        <v>234</v>
      </c>
      <c r="G13" s="7" t="s">
        <v>228</v>
      </c>
      <c r="H13" s="7" t="s">
        <v>89</v>
      </c>
      <c r="I13" s="8" t="s">
        <v>91</v>
      </c>
      <c r="J13" s="8"/>
      <c r="K13" s="4" t="s">
        <v>171</v>
      </c>
      <c r="L13" s="8" t="s">
        <v>90</v>
      </c>
      <c r="M13" s="8" t="s">
        <v>16</v>
      </c>
      <c r="N13" s="8"/>
      <c r="O13" s="3" t="s">
        <v>224</v>
      </c>
      <c r="P13" s="8" t="s">
        <v>18</v>
      </c>
      <c r="Q13" s="8" t="s">
        <v>18</v>
      </c>
      <c r="R13" s="6"/>
      <c r="S13" s="6" t="s">
        <v>184</v>
      </c>
      <c r="T13" s="6" t="s">
        <v>20</v>
      </c>
      <c r="U13" s="6" t="s">
        <v>93</v>
      </c>
      <c r="V13" s="6" t="s">
        <v>16</v>
      </c>
      <c r="W13" s="6" t="s">
        <v>232</v>
      </c>
      <c r="X13" s="1" t="s">
        <v>164</v>
      </c>
      <c r="Y13" s="1" t="s">
        <v>165</v>
      </c>
      <c r="Z13" s="1" t="s">
        <v>166</v>
      </c>
      <c r="AA13" s="1" t="s">
        <v>167</v>
      </c>
      <c r="AB13" s="1" t="s">
        <v>168</v>
      </c>
      <c r="AL13" s="2" t="s">
        <v>226</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A41AE-83E4-4977-BA31-9A209F87211D}">
  <dimension ref="A1:AL12"/>
  <sheetViews>
    <sheetView tabSelected="1" topLeftCell="A10" zoomScale="50" workbookViewId="0">
      <selection sqref="A1:XFD12"/>
    </sheetView>
  </sheetViews>
  <sheetFormatPr defaultRowHeight="14.4" x14ac:dyDescent="0.3"/>
  <cols>
    <col min="1" max="1" width="6.109375" bestFit="1" customWidth="1"/>
    <col min="2" max="2" width="12.5546875" bestFit="1" customWidth="1"/>
    <col min="3" max="3" width="10.77734375" bestFit="1" customWidth="1"/>
    <col min="4" max="4" width="30.77734375" bestFit="1" customWidth="1"/>
    <col min="5" max="5" width="16.77734375" bestFit="1" customWidth="1"/>
    <col min="6" max="6" width="57.88671875" bestFit="1" customWidth="1"/>
    <col min="7" max="7" width="19.88671875" bestFit="1" customWidth="1"/>
    <col min="8" max="8" width="16.77734375" bestFit="1" customWidth="1"/>
    <col min="9" max="10" width="17.21875" bestFit="1" customWidth="1"/>
    <col min="11" max="11" width="23" bestFit="1" customWidth="1"/>
    <col min="12" max="12" width="16.77734375" bestFit="1" customWidth="1"/>
    <col min="13" max="14" width="17.21875" bestFit="1" customWidth="1"/>
    <col min="15" max="15" width="23" customWidth="1"/>
    <col min="16" max="16" width="23.21875" bestFit="1" customWidth="1"/>
    <col min="17" max="18" width="23.6640625" bestFit="1" customWidth="1"/>
    <col min="19" max="19" width="29.6640625" bestFit="1" customWidth="1"/>
    <col min="20" max="20" width="19.21875" bestFit="1" customWidth="1"/>
    <col min="21" max="21" width="14.109375" bestFit="1" customWidth="1"/>
    <col min="22" max="22" width="13.6640625" bestFit="1" customWidth="1"/>
    <col min="23" max="23" width="53.21875" bestFit="1" customWidth="1"/>
    <col min="24" max="24" width="63.88671875" bestFit="1" customWidth="1"/>
    <col min="25" max="25" width="76.109375" bestFit="1" customWidth="1"/>
    <col min="26" max="26" width="66.33203125" bestFit="1" customWidth="1"/>
    <col min="27" max="27" width="58.5546875" bestFit="1" customWidth="1"/>
    <col min="28" max="28" width="60.5546875" bestFit="1" customWidth="1"/>
    <col min="29" max="29" width="64.77734375" bestFit="1" customWidth="1"/>
    <col min="30" max="30" width="58.5546875" bestFit="1" customWidth="1"/>
    <col min="31" max="31" width="54.77734375" bestFit="1" customWidth="1"/>
    <col min="32" max="32" width="63.21875" bestFit="1" customWidth="1"/>
    <col min="33" max="33" width="52.33203125" bestFit="1" customWidth="1"/>
    <col min="34" max="34" width="62.109375" bestFit="1" customWidth="1"/>
    <col min="35" max="35" width="52.33203125" bestFit="1" customWidth="1"/>
    <col min="36" max="36" width="43.6640625" bestFit="1" customWidth="1"/>
    <col min="37" max="37" width="49.88671875" bestFit="1" customWidth="1"/>
    <col min="38" max="38" width="23.21875" bestFit="1" customWidth="1"/>
  </cols>
  <sheetData>
    <row r="1" spans="1:38" s="2" customFormat="1" x14ac:dyDescent="0.3">
      <c r="A1" s="3" t="s">
        <v>0</v>
      </c>
      <c r="B1" s="3" t="s">
        <v>246</v>
      </c>
      <c r="C1" s="3" t="s">
        <v>1</v>
      </c>
      <c r="D1" s="3" t="s">
        <v>2</v>
      </c>
      <c r="E1" s="3" t="s">
        <v>3</v>
      </c>
      <c r="F1" s="3" t="s">
        <v>4</v>
      </c>
      <c r="G1" s="3" t="s">
        <v>5</v>
      </c>
      <c r="H1" s="3" t="s">
        <v>231</v>
      </c>
      <c r="I1" s="3" t="s">
        <v>198</v>
      </c>
      <c r="J1" s="3" t="s">
        <v>199</v>
      </c>
      <c r="K1" s="3" t="s">
        <v>200</v>
      </c>
      <c r="L1" s="3" t="s">
        <v>201</v>
      </c>
      <c r="M1" s="3" t="s">
        <v>202</v>
      </c>
      <c r="N1" s="3" t="s">
        <v>203</v>
      </c>
      <c r="O1" s="3" t="s">
        <v>204</v>
      </c>
      <c r="P1" s="3" t="s">
        <v>205</v>
      </c>
      <c r="Q1" s="3" t="s">
        <v>206</v>
      </c>
      <c r="R1" s="3" t="s">
        <v>207</v>
      </c>
      <c r="S1" s="3" t="s">
        <v>208</v>
      </c>
      <c r="T1" s="3" t="s">
        <v>6</v>
      </c>
      <c r="U1" s="3" t="s">
        <v>209</v>
      </c>
      <c r="V1" s="3" t="s">
        <v>210</v>
      </c>
      <c r="W1" s="3" t="s">
        <v>7</v>
      </c>
      <c r="X1" s="3" t="s">
        <v>8</v>
      </c>
      <c r="Y1" s="3" t="s">
        <v>211</v>
      </c>
      <c r="Z1" s="3" t="s">
        <v>212</v>
      </c>
      <c r="AA1" s="3" t="s">
        <v>213</v>
      </c>
      <c r="AB1" s="3" t="s">
        <v>214</v>
      </c>
      <c r="AC1" s="3" t="s">
        <v>215</v>
      </c>
      <c r="AD1" s="3" t="s">
        <v>216</v>
      </c>
      <c r="AE1" s="3" t="s">
        <v>217</v>
      </c>
      <c r="AF1" s="3" t="s">
        <v>218</v>
      </c>
      <c r="AG1" s="3" t="s">
        <v>219</v>
      </c>
      <c r="AH1" s="3" t="s">
        <v>220</v>
      </c>
      <c r="AI1" s="3" t="s">
        <v>221</v>
      </c>
      <c r="AJ1" s="3" t="s">
        <v>222</v>
      </c>
      <c r="AK1" s="3" t="s">
        <v>223</v>
      </c>
      <c r="AL1" s="3" t="s">
        <v>227</v>
      </c>
    </row>
    <row r="2" spans="1:38" s="2" customFormat="1" ht="302.39999999999998" x14ac:dyDescent="0.3">
      <c r="A2" s="3" t="s">
        <v>9</v>
      </c>
      <c r="B2" s="3" t="s">
        <v>235</v>
      </c>
      <c r="C2" s="3" t="s">
        <v>10</v>
      </c>
      <c r="D2" s="3" t="s">
        <v>11</v>
      </c>
      <c r="E2" s="4" t="s">
        <v>12</v>
      </c>
      <c r="F2" s="4" t="s">
        <v>157</v>
      </c>
      <c r="G2" s="4" t="s">
        <v>229</v>
      </c>
      <c r="H2" s="4" t="s">
        <v>13</v>
      </c>
      <c r="I2" s="4" t="s">
        <v>10</v>
      </c>
      <c r="J2" s="4" t="s">
        <v>14</v>
      </c>
      <c r="K2" s="4" t="s">
        <v>171</v>
      </c>
      <c r="L2" s="4" t="s">
        <v>15</v>
      </c>
      <c r="M2" s="4" t="s">
        <v>16</v>
      </c>
      <c r="N2" s="3" t="s">
        <v>17</v>
      </c>
      <c r="O2" s="3" t="s">
        <v>224</v>
      </c>
      <c r="P2" s="4" t="s">
        <v>18</v>
      </c>
      <c r="Q2" s="4" t="s">
        <v>19</v>
      </c>
      <c r="R2" s="4" t="s">
        <v>18</v>
      </c>
      <c r="S2" s="6" t="s">
        <v>184</v>
      </c>
      <c r="T2" s="3" t="s">
        <v>20</v>
      </c>
      <c r="U2" s="3" t="s">
        <v>21</v>
      </c>
      <c r="V2" s="3" t="s">
        <v>22</v>
      </c>
      <c r="W2" s="3" t="s">
        <v>232</v>
      </c>
      <c r="X2" s="4" t="s">
        <v>23</v>
      </c>
      <c r="Y2" s="2" t="s">
        <v>96</v>
      </c>
      <c r="Z2" s="2" t="s">
        <v>97</v>
      </c>
      <c r="AA2" s="2" t="s">
        <v>98</v>
      </c>
      <c r="AB2" s="2" t="s">
        <v>99</v>
      </c>
      <c r="AC2" s="2" t="s">
        <v>100</v>
      </c>
      <c r="AD2" s="2" t="s">
        <v>101</v>
      </c>
      <c r="AE2" s="2" t="s">
        <v>102</v>
      </c>
      <c r="AF2" s="2" t="s">
        <v>103</v>
      </c>
      <c r="AG2" s="2" t="s">
        <v>49</v>
      </c>
      <c r="AH2" s="2" t="s">
        <v>51</v>
      </c>
      <c r="AI2" s="2" t="s">
        <v>104</v>
      </c>
      <c r="AL2" s="2" t="s">
        <v>226</v>
      </c>
    </row>
    <row r="3" spans="1:38" s="2" customFormat="1" ht="316.8" x14ac:dyDescent="0.3">
      <c r="A3" s="3" t="s">
        <v>9</v>
      </c>
      <c r="B3" s="3" t="s">
        <v>236</v>
      </c>
      <c r="C3" s="3" t="s">
        <v>24</v>
      </c>
      <c r="D3" s="3" t="s">
        <v>25</v>
      </c>
      <c r="E3" s="4" t="s">
        <v>26</v>
      </c>
      <c r="F3" s="4" t="s">
        <v>233</v>
      </c>
      <c r="G3" s="5" t="s">
        <v>230</v>
      </c>
      <c r="H3" s="4" t="s">
        <v>27</v>
      </c>
      <c r="I3" s="3" t="s">
        <v>28</v>
      </c>
      <c r="J3" s="4" t="s">
        <v>14</v>
      </c>
      <c r="K3" s="4" t="s">
        <v>171</v>
      </c>
      <c r="L3" s="3" t="s">
        <v>29</v>
      </c>
      <c r="M3" s="3" t="s">
        <v>30</v>
      </c>
      <c r="N3" s="3" t="s">
        <v>17</v>
      </c>
      <c r="O3" s="3" t="s">
        <v>224</v>
      </c>
      <c r="P3" s="3" t="s">
        <v>18</v>
      </c>
      <c r="Q3" s="3" t="s">
        <v>18</v>
      </c>
      <c r="R3" s="3" t="s">
        <v>18</v>
      </c>
      <c r="S3" s="6" t="s">
        <v>184</v>
      </c>
      <c r="T3" s="3" t="s">
        <v>20</v>
      </c>
      <c r="U3" s="3" t="s">
        <v>31</v>
      </c>
      <c r="V3" s="3" t="s">
        <v>32</v>
      </c>
      <c r="W3" s="3" t="s">
        <v>152</v>
      </c>
      <c r="X3" s="4" t="s">
        <v>33</v>
      </c>
      <c r="Y3" s="2" t="s">
        <v>105</v>
      </c>
      <c r="Z3" s="2" t="s">
        <v>106</v>
      </c>
      <c r="AA3" s="2" t="s">
        <v>108</v>
      </c>
      <c r="AB3" s="2" t="s">
        <v>109</v>
      </c>
      <c r="AF3" s="2" t="s">
        <v>103</v>
      </c>
      <c r="AG3" s="2" t="s">
        <v>49</v>
      </c>
      <c r="AH3" s="2" t="s">
        <v>51</v>
      </c>
      <c r="AI3" s="2" t="s">
        <v>107</v>
      </c>
      <c r="AL3" s="2" t="s">
        <v>226</v>
      </c>
    </row>
    <row r="4" spans="1:38" s="2" customFormat="1" ht="302.39999999999998" x14ac:dyDescent="0.3">
      <c r="A4" s="3" t="s">
        <v>9</v>
      </c>
      <c r="B4" s="3" t="s">
        <v>237</v>
      </c>
      <c r="C4" s="3" t="s">
        <v>34</v>
      </c>
      <c r="D4" s="3" t="s">
        <v>35</v>
      </c>
      <c r="E4" s="4" t="s">
        <v>36</v>
      </c>
      <c r="F4" s="4" t="s">
        <v>156</v>
      </c>
      <c r="G4" s="5" t="s">
        <v>229</v>
      </c>
      <c r="H4" s="4" t="s">
        <v>13</v>
      </c>
      <c r="I4" s="4" t="s">
        <v>34</v>
      </c>
      <c r="J4" s="4" t="s">
        <v>14</v>
      </c>
      <c r="K4" s="4" t="s">
        <v>171</v>
      </c>
      <c r="L4" s="4" t="s">
        <v>15</v>
      </c>
      <c r="M4" s="4">
        <v>20</v>
      </c>
      <c r="N4" s="3" t="s">
        <v>17</v>
      </c>
      <c r="O4" s="3" t="s">
        <v>224</v>
      </c>
      <c r="P4" s="4" t="s">
        <v>18</v>
      </c>
      <c r="Q4" s="3" t="s">
        <v>19</v>
      </c>
      <c r="R4" s="3" t="s">
        <v>18</v>
      </c>
      <c r="S4" s="6" t="s">
        <v>184</v>
      </c>
      <c r="T4" s="3" t="s">
        <v>20</v>
      </c>
      <c r="U4" s="3" t="s">
        <v>37</v>
      </c>
      <c r="V4" s="3" t="s">
        <v>38</v>
      </c>
      <c r="W4" s="3" t="s">
        <v>153</v>
      </c>
      <c r="X4" s="4" t="s">
        <v>39</v>
      </c>
      <c r="Y4" s="2" t="s">
        <v>110</v>
      </c>
      <c r="Z4" s="2" t="s">
        <v>111</v>
      </c>
      <c r="AF4" s="2" t="s">
        <v>103</v>
      </c>
      <c r="AG4" s="2" t="s">
        <v>49</v>
      </c>
      <c r="AH4" s="2" t="s">
        <v>51</v>
      </c>
      <c r="AI4" s="2" t="s">
        <v>104</v>
      </c>
      <c r="AL4" s="2" t="s">
        <v>226</v>
      </c>
    </row>
    <row r="5" spans="1:38" s="2" customFormat="1" ht="201.6" x14ac:dyDescent="0.3">
      <c r="A5" s="3" t="s">
        <v>9</v>
      </c>
      <c r="B5" s="3" t="s">
        <v>238</v>
      </c>
      <c r="C5" s="3" t="s">
        <v>40</v>
      </c>
      <c r="D5" s="3" t="s">
        <v>41</v>
      </c>
      <c r="E5" s="4" t="s">
        <v>42</v>
      </c>
      <c r="F5" s="4" t="s">
        <v>154</v>
      </c>
      <c r="G5" s="4" t="s">
        <v>43</v>
      </c>
      <c r="H5" s="4" t="s">
        <v>40</v>
      </c>
      <c r="I5" s="3"/>
      <c r="J5" s="4" t="s">
        <v>14</v>
      </c>
      <c r="K5" s="4" t="s">
        <v>171</v>
      </c>
      <c r="L5" s="3" t="s">
        <v>44</v>
      </c>
      <c r="M5" s="3"/>
      <c r="N5" s="3" t="s">
        <v>17</v>
      </c>
      <c r="O5" s="3" t="s">
        <v>224</v>
      </c>
      <c r="P5" s="3" t="s">
        <v>18</v>
      </c>
      <c r="Q5" s="3"/>
      <c r="R5" s="3" t="s">
        <v>18</v>
      </c>
      <c r="S5" s="6" t="s">
        <v>184</v>
      </c>
      <c r="T5" s="3" t="s">
        <v>20</v>
      </c>
      <c r="U5" s="3" t="s">
        <v>45</v>
      </c>
      <c r="V5" s="3" t="s">
        <v>46</v>
      </c>
      <c r="W5" s="3" t="s">
        <v>151</v>
      </c>
      <c r="X5" s="4" t="s">
        <v>47</v>
      </c>
      <c r="Y5" s="2" t="s">
        <v>48</v>
      </c>
      <c r="Z5" s="2" t="s">
        <v>50</v>
      </c>
      <c r="AF5" s="2" t="s">
        <v>103</v>
      </c>
      <c r="AG5" s="2" t="s">
        <v>49</v>
      </c>
      <c r="AH5" s="2" t="s">
        <v>51</v>
      </c>
      <c r="AI5" s="2" t="s">
        <v>52</v>
      </c>
      <c r="AL5" s="2" t="s">
        <v>226</v>
      </c>
    </row>
    <row r="6" spans="1:38" s="1" customFormat="1" ht="201.6" x14ac:dyDescent="0.3">
      <c r="A6" s="6" t="s">
        <v>53</v>
      </c>
      <c r="B6" s="6" t="s">
        <v>239</v>
      </c>
      <c r="C6" s="6" t="s">
        <v>54</v>
      </c>
      <c r="D6" s="6" t="s">
        <v>55</v>
      </c>
      <c r="E6" s="7" t="s">
        <v>56</v>
      </c>
      <c r="F6" s="8" t="s">
        <v>155</v>
      </c>
      <c r="G6" s="8" t="s">
        <v>85</v>
      </c>
      <c r="H6" s="7" t="s">
        <v>13</v>
      </c>
      <c r="I6" s="8"/>
      <c r="J6" s="8" t="s">
        <v>14</v>
      </c>
      <c r="K6" s="4" t="s">
        <v>171</v>
      </c>
      <c r="L6" s="8" t="s">
        <v>15</v>
      </c>
      <c r="M6" s="8"/>
      <c r="N6" s="8" t="s">
        <v>17</v>
      </c>
      <c r="O6" s="3" t="s">
        <v>224</v>
      </c>
      <c r="P6" s="8" t="s">
        <v>19</v>
      </c>
      <c r="Q6" s="8"/>
      <c r="R6" s="6" t="s">
        <v>19</v>
      </c>
      <c r="S6" s="6" t="s">
        <v>184</v>
      </c>
      <c r="T6" s="6" t="s">
        <v>20</v>
      </c>
      <c r="U6" s="6" t="s">
        <v>57</v>
      </c>
      <c r="V6" s="6" t="s">
        <v>58</v>
      </c>
      <c r="W6" s="6" t="s">
        <v>153</v>
      </c>
      <c r="X6" s="1" t="s">
        <v>59</v>
      </c>
      <c r="Y6" s="1" t="s">
        <v>112</v>
      </c>
      <c r="Z6" s="1" t="s">
        <v>113</v>
      </c>
      <c r="AA6" s="1" t="s">
        <v>114</v>
      </c>
      <c r="AB6" s="1" t="s">
        <v>118</v>
      </c>
      <c r="AC6" s="1" t="s">
        <v>119</v>
      </c>
      <c r="AD6" s="1" t="s">
        <v>115</v>
      </c>
      <c r="AE6" s="1" t="s">
        <v>116</v>
      </c>
      <c r="AF6" s="1" t="s">
        <v>117</v>
      </c>
      <c r="AL6" s="2" t="s">
        <v>226</v>
      </c>
    </row>
    <row r="7" spans="1:38" s="1" customFormat="1" ht="259.2" x14ac:dyDescent="0.3">
      <c r="A7" s="6" t="s">
        <v>53</v>
      </c>
      <c r="B7" s="6" t="s">
        <v>240</v>
      </c>
      <c r="C7" s="6" t="s">
        <v>10</v>
      </c>
      <c r="D7" s="6" t="s">
        <v>60</v>
      </c>
      <c r="E7" s="7" t="s">
        <v>61</v>
      </c>
      <c r="F7" s="8" t="s">
        <v>158</v>
      </c>
      <c r="G7" s="7" t="s">
        <v>84</v>
      </c>
      <c r="H7" s="7" t="s">
        <v>13</v>
      </c>
      <c r="I7" s="8" t="s">
        <v>10</v>
      </c>
      <c r="J7" s="8" t="s">
        <v>14</v>
      </c>
      <c r="K7" s="4" t="s">
        <v>171</v>
      </c>
      <c r="L7" s="8" t="s">
        <v>15</v>
      </c>
      <c r="M7" s="8" t="s">
        <v>16</v>
      </c>
      <c r="N7" s="8" t="s">
        <v>17</v>
      </c>
      <c r="O7" s="3" t="s">
        <v>224</v>
      </c>
      <c r="P7" s="8" t="s">
        <v>19</v>
      </c>
      <c r="Q7" s="8" t="s">
        <v>19</v>
      </c>
      <c r="R7" s="6" t="s">
        <v>19</v>
      </c>
      <c r="S7" s="6" t="s">
        <v>184</v>
      </c>
      <c r="T7" s="6" t="s">
        <v>20</v>
      </c>
      <c r="U7" s="6" t="s">
        <v>62</v>
      </c>
      <c r="V7" s="6" t="s">
        <v>63</v>
      </c>
      <c r="W7" s="6" t="s">
        <v>153</v>
      </c>
      <c r="X7" s="1" t="s">
        <v>64</v>
      </c>
      <c r="Y7" s="1" t="s">
        <v>128</v>
      </c>
      <c r="Z7" s="1" t="s">
        <v>131</v>
      </c>
      <c r="AA7" s="1" t="s">
        <v>132</v>
      </c>
      <c r="AB7" s="1" t="s">
        <v>129</v>
      </c>
      <c r="AC7" s="1" t="s">
        <v>130</v>
      </c>
      <c r="AD7" s="1" t="s">
        <v>133</v>
      </c>
      <c r="AE7" s="1" t="s">
        <v>102</v>
      </c>
      <c r="AF7" s="1" t="s">
        <v>134</v>
      </c>
      <c r="AG7" s="1" t="s">
        <v>136</v>
      </c>
      <c r="AH7" s="1" t="s">
        <v>135</v>
      </c>
      <c r="AI7" s="1" t="s">
        <v>137</v>
      </c>
      <c r="AJ7" s="1" t="s">
        <v>138</v>
      </c>
      <c r="AK7" s="1" t="s">
        <v>139</v>
      </c>
      <c r="AL7" s="2" t="s">
        <v>226</v>
      </c>
    </row>
    <row r="8" spans="1:38" s="1" customFormat="1" ht="331.2" x14ac:dyDescent="0.3">
      <c r="A8" s="6" t="s">
        <v>53</v>
      </c>
      <c r="B8" s="6" t="s">
        <v>241</v>
      </c>
      <c r="C8" s="6" t="s">
        <v>24</v>
      </c>
      <c r="D8" s="6" t="s">
        <v>65</v>
      </c>
      <c r="E8" s="7" t="s">
        <v>83</v>
      </c>
      <c r="F8" s="7" t="s">
        <v>159</v>
      </c>
      <c r="G8" s="7" t="s">
        <v>84</v>
      </c>
      <c r="H8" s="6" t="s">
        <v>27</v>
      </c>
      <c r="I8" s="8" t="s">
        <v>28</v>
      </c>
      <c r="J8" s="8" t="s">
        <v>14</v>
      </c>
      <c r="K8" s="4" t="s">
        <v>171</v>
      </c>
      <c r="L8" s="8" t="s">
        <v>29</v>
      </c>
      <c r="M8" s="8" t="s">
        <v>30</v>
      </c>
      <c r="N8" s="8" t="s">
        <v>17</v>
      </c>
      <c r="O8" s="3" t="s">
        <v>224</v>
      </c>
      <c r="P8" s="8" t="s">
        <v>19</v>
      </c>
      <c r="Q8" s="8" t="s">
        <v>19</v>
      </c>
      <c r="R8" s="6" t="s">
        <v>19</v>
      </c>
      <c r="S8" s="6" t="s">
        <v>184</v>
      </c>
      <c r="T8" s="6" t="s">
        <v>20</v>
      </c>
      <c r="U8" s="6" t="s">
        <v>66</v>
      </c>
      <c r="V8" s="6" t="s">
        <v>67</v>
      </c>
      <c r="W8" s="6" t="s">
        <v>152</v>
      </c>
      <c r="X8" s="1" t="s">
        <v>68</v>
      </c>
      <c r="Y8" s="1" t="s">
        <v>140</v>
      </c>
      <c r="Z8" s="1" t="s">
        <v>141</v>
      </c>
      <c r="AA8" s="1" t="s">
        <v>142</v>
      </c>
      <c r="AB8" s="1" t="s">
        <v>143</v>
      </c>
      <c r="AC8" s="1" t="s">
        <v>144</v>
      </c>
      <c r="AD8" s="1" t="s">
        <v>145</v>
      </c>
      <c r="AE8" s="1" t="s">
        <v>146</v>
      </c>
      <c r="AF8" s="1" t="s">
        <v>148</v>
      </c>
      <c r="AG8" s="1" t="s">
        <v>149</v>
      </c>
      <c r="AH8" s="1" t="s">
        <v>147</v>
      </c>
      <c r="AI8" s="1" t="s">
        <v>150</v>
      </c>
      <c r="AL8" s="2" t="s">
        <v>226</v>
      </c>
    </row>
    <row r="9" spans="1:38" s="1" customFormat="1" ht="302.39999999999998" x14ac:dyDescent="0.3">
      <c r="A9" s="6" t="s">
        <v>53</v>
      </c>
      <c r="B9" s="6" t="s">
        <v>242</v>
      </c>
      <c r="C9" s="6" t="s">
        <v>34</v>
      </c>
      <c r="D9" s="6" t="s">
        <v>69</v>
      </c>
      <c r="E9" s="7" t="s">
        <v>56</v>
      </c>
      <c r="F9" s="7" t="s">
        <v>160</v>
      </c>
      <c r="G9" s="7" t="s">
        <v>84</v>
      </c>
      <c r="H9" s="7" t="s">
        <v>13</v>
      </c>
      <c r="I9" s="8" t="s">
        <v>34</v>
      </c>
      <c r="J9" s="8" t="s">
        <v>14</v>
      </c>
      <c r="K9" s="4" t="s">
        <v>171</v>
      </c>
      <c r="L9" s="8" t="s">
        <v>15</v>
      </c>
      <c r="M9" s="8">
        <v>20</v>
      </c>
      <c r="N9" s="8" t="s">
        <v>17</v>
      </c>
      <c r="O9" s="3" t="s">
        <v>224</v>
      </c>
      <c r="P9" s="8" t="s">
        <v>19</v>
      </c>
      <c r="Q9" s="8" t="s">
        <v>19</v>
      </c>
      <c r="R9" s="6" t="s">
        <v>19</v>
      </c>
      <c r="S9" s="6" t="s">
        <v>184</v>
      </c>
      <c r="T9" s="6" t="s">
        <v>20</v>
      </c>
      <c r="U9" s="6" t="s">
        <v>70</v>
      </c>
      <c r="V9" s="6" t="s">
        <v>71</v>
      </c>
      <c r="W9" s="6" t="s">
        <v>153</v>
      </c>
      <c r="X9" s="1" t="s">
        <v>72</v>
      </c>
      <c r="Y9" s="1" t="s">
        <v>120</v>
      </c>
      <c r="Z9" s="1" t="s">
        <v>121</v>
      </c>
      <c r="AA9" s="1" t="s">
        <v>124</v>
      </c>
      <c r="AB9" s="1" t="s">
        <v>122</v>
      </c>
      <c r="AC9" s="1" t="s">
        <v>123</v>
      </c>
      <c r="AD9" s="1" t="s">
        <v>125</v>
      </c>
      <c r="AE9" s="1" t="s">
        <v>126</v>
      </c>
      <c r="AF9" s="1" t="s">
        <v>127</v>
      </c>
      <c r="AL9" s="2" t="s">
        <v>226</v>
      </c>
    </row>
    <row r="10" spans="1:38" s="1" customFormat="1" ht="302.39999999999998" x14ac:dyDescent="0.3">
      <c r="A10" s="6" t="s">
        <v>53</v>
      </c>
      <c r="B10" s="6" t="s">
        <v>243</v>
      </c>
      <c r="C10" s="6" t="s">
        <v>40</v>
      </c>
      <c r="D10" s="6" t="s">
        <v>73</v>
      </c>
      <c r="E10" s="7" t="s">
        <v>42</v>
      </c>
      <c r="F10" s="7" t="s">
        <v>160</v>
      </c>
      <c r="G10" s="7" t="s">
        <v>43</v>
      </c>
      <c r="H10" s="6" t="s">
        <v>40</v>
      </c>
      <c r="I10" s="8"/>
      <c r="J10" s="8" t="s">
        <v>14</v>
      </c>
      <c r="K10" s="4" t="s">
        <v>171</v>
      </c>
      <c r="L10" s="8" t="s">
        <v>74</v>
      </c>
      <c r="M10" s="8"/>
      <c r="N10" s="8" t="s">
        <v>17</v>
      </c>
      <c r="O10" s="3" t="s">
        <v>224</v>
      </c>
      <c r="P10" s="8" t="s">
        <v>18</v>
      </c>
      <c r="Q10" s="8"/>
      <c r="R10" s="6" t="s">
        <v>19</v>
      </c>
      <c r="S10" s="6" t="s">
        <v>184</v>
      </c>
      <c r="T10" s="6" t="s">
        <v>20</v>
      </c>
      <c r="U10" s="6" t="s">
        <v>75</v>
      </c>
      <c r="V10" s="6" t="s">
        <v>76</v>
      </c>
      <c r="W10" s="6" t="s">
        <v>151</v>
      </c>
      <c r="X10" s="1" t="s">
        <v>77</v>
      </c>
      <c r="Y10" s="1" t="s">
        <v>48</v>
      </c>
      <c r="Z10" s="1" t="s">
        <v>50</v>
      </c>
      <c r="AF10" s="1" t="s">
        <v>103</v>
      </c>
      <c r="AG10" s="1" t="s">
        <v>49</v>
      </c>
      <c r="AH10" s="1" t="s">
        <v>51</v>
      </c>
      <c r="AI10" s="1" t="s">
        <v>52</v>
      </c>
      <c r="AL10" s="2" t="s">
        <v>226</v>
      </c>
    </row>
    <row r="11" spans="1:38" s="1" customFormat="1" ht="187.2" x14ac:dyDescent="0.3">
      <c r="A11" s="6" t="s">
        <v>53</v>
      </c>
      <c r="B11" s="6" t="s">
        <v>244</v>
      </c>
      <c r="C11" s="6" t="s">
        <v>78</v>
      </c>
      <c r="D11" s="6" t="s">
        <v>79</v>
      </c>
      <c r="E11" s="7" t="s">
        <v>87</v>
      </c>
      <c r="F11" s="7" t="s">
        <v>163</v>
      </c>
      <c r="G11" s="7" t="s">
        <v>86</v>
      </c>
      <c r="H11" s="7" t="s">
        <v>78</v>
      </c>
      <c r="I11" s="8"/>
      <c r="J11" s="8"/>
      <c r="K11" s="4" t="s">
        <v>171</v>
      </c>
      <c r="L11" s="8" t="s">
        <v>92</v>
      </c>
      <c r="M11" s="8"/>
      <c r="N11" s="8"/>
      <c r="O11" s="3" t="s">
        <v>224</v>
      </c>
      <c r="P11" s="8" t="s">
        <v>18</v>
      </c>
      <c r="Q11" s="8"/>
      <c r="R11" s="6"/>
      <c r="S11" s="6" t="s">
        <v>184</v>
      </c>
      <c r="T11" s="6" t="s">
        <v>20</v>
      </c>
      <c r="U11" s="6" t="s">
        <v>94</v>
      </c>
      <c r="V11" s="6" t="s">
        <v>16</v>
      </c>
      <c r="W11" s="6" t="s">
        <v>95</v>
      </c>
      <c r="X11" s="1" t="s">
        <v>161</v>
      </c>
      <c r="Y11" s="1" t="s">
        <v>162</v>
      </c>
      <c r="AL11" s="2" t="s">
        <v>226</v>
      </c>
    </row>
    <row r="12" spans="1:38" s="1" customFormat="1" ht="230.4" x14ac:dyDescent="0.3">
      <c r="A12" s="6" t="s">
        <v>80</v>
      </c>
      <c r="B12" s="6" t="s">
        <v>245</v>
      </c>
      <c r="C12" s="6" t="s">
        <v>81</v>
      </c>
      <c r="D12" s="6" t="s">
        <v>82</v>
      </c>
      <c r="E12" s="7" t="s">
        <v>88</v>
      </c>
      <c r="F12" s="7" t="s">
        <v>234</v>
      </c>
      <c r="G12" s="7" t="s">
        <v>228</v>
      </c>
      <c r="H12" s="7" t="s">
        <v>89</v>
      </c>
      <c r="I12" s="8" t="s">
        <v>91</v>
      </c>
      <c r="J12" s="8"/>
      <c r="K12" s="4" t="s">
        <v>171</v>
      </c>
      <c r="L12" s="8" t="s">
        <v>90</v>
      </c>
      <c r="M12" s="8" t="s">
        <v>16</v>
      </c>
      <c r="N12" s="8"/>
      <c r="O12" s="3" t="s">
        <v>224</v>
      </c>
      <c r="P12" s="8" t="s">
        <v>18</v>
      </c>
      <c r="Q12" s="8" t="s">
        <v>18</v>
      </c>
      <c r="R12" s="6"/>
      <c r="S12" s="6" t="s">
        <v>184</v>
      </c>
      <c r="T12" s="6" t="s">
        <v>20</v>
      </c>
      <c r="U12" s="6" t="s">
        <v>93</v>
      </c>
      <c r="V12" s="6" t="s">
        <v>16</v>
      </c>
      <c r="W12" s="6" t="s">
        <v>232</v>
      </c>
      <c r="X12" s="1" t="s">
        <v>164</v>
      </c>
      <c r="Y12" s="1" t="s">
        <v>165</v>
      </c>
      <c r="Z12" s="1" t="s">
        <v>166</v>
      </c>
      <c r="AA12" s="1" t="s">
        <v>167</v>
      </c>
      <c r="AB12" s="1" t="s">
        <v>168</v>
      </c>
      <c r="AL12" s="2"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 T Sexton</dc:creator>
  <cp:keywords/>
  <dc:description/>
  <cp:lastModifiedBy>Julian T Sexton</cp:lastModifiedBy>
  <cp:revision/>
  <dcterms:created xsi:type="dcterms:W3CDTF">2025-01-22T21:27:37Z</dcterms:created>
  <dcterms:modified xsi:type="dcterms:W3CDTF">2025-02-07T17:14:09Z</dcterms:modified>
  <cp:category/>
  <cp:contentStatus/>
</cp:coreProperties>
</file>